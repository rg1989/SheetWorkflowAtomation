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ot1.sharepoint.com/sites/Sharedfiles/Shared Documents/Documents/"/>
    </mc:Choice>
  </mc:AlternateContent>
  <xr:revisionPtr revIDLastSave="0" documentId="8_{8650EB37-A5B7-441B-A3AF-FA6446903EB4}" xr6:coauthVersionLast="47" xr6:coauthVersionMax="47" xr10:uidLastSave="{00000000-0000-0000-0000-000000000000}"/>
  <bookViews>
    <workbookView xWindow="14400" yWindow="0" windowWidth="14400" windowHeight="15600" tabRatio="902" activeTab="3" xr2:uid="{00000000-000D-0000-FFFF-FFFF00000000}"/>
  </bookViews>
  <sheets>
    <sheet name="גודל 7 נ&quot;ע " sheetId="52" r:id="rId1"/>
    <sheet name="שיחים משמר איילון  " sheetId="53" r:id="rId2"/>
    <sheet name="מלאי + תוכנית עבודה" sheetId="41" r:id="rId3"/>
    <sheet name="מכירות מהמלאי" sheetId="45" r:id="rId4"/>
    <sheet name="ריבוי" sheetId="36" r:id="rId5"/>
    <sheet name="החזרות " sheetId="35" state="hidden" r:id="rId6"/>
  </sheets>
  <definedNames>
    <definedName name="_xlnm.Print_Area" localSheetId="2">'מלאי + תוכנית עבודה'!$B$2:$H$170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6" i="45" l="1"/>
  <c r="C172" i="45"/>
  <c r="C133" i="45"/>
  <c r="B111" i="45"/>
  <c r="B110" i="45"/>
  <c r="B106" i="45"/>
  <c r="B96" i="45"/>
  <c r="B97" i="45"/>
  <c r="C98" i="45"/>
  <c r="B87" i="45"/>
  <c r="B81" i="45"/>
  <c r="B80" i="45"/>
  <c r="B67" i="45"/>
  <c r="B60" i="45"/>
  <c r="B53" i="45"/>
  <c r="B38" i="45"/>
  <c r="B29" i="45"/>
  <c r="B21" i="45"/>
  <c r="B20" i="45"/>
  <c r="B16" i="45"/>
  <c r="C5" i="45"/>
  <c r="D159" i="41"/>
  <c r="G157" i="41"/>
  <c r="F120" i="41"/>
  <c r="D101" i="41"/>
  <c r="D100" i="41"/>
  <c r="C96" i="41"/>
  <c r="C88" i="41"/>
  <c r="C90" i="41"/>
  <c r="F89" i="41"/>
  <c r="D78" i="41"/>
  <c r="E74" i="41"/>
  <c r="D73" i="41"/>
  <c r="C61" i="41"/>
  <c r="C58" i="41"/>
  <c r="C52" i="41"/>
  <c r="C39" i="41"/>
  <c r="D27" i="41"/>
  <c r="C19" i="41"/>
  <c r="C18" i="41"/>
  <c r="C16" i="41"/>
  <c r="F4" i="41"/>
  <c r="B9" i="45"/>
  <c r="C8" i="41"/>
  <c r="H58" i="41"/>
  <c r="I368" i="36"/>
  <c r="B162" i="45"/>
  <c r="B133" i="45"/>
  <c r="C116" i="45"/>
  <c r="C112" i="45"/>
  <c r="B109" i="45"/>
  <c r="B91" i="45"/>
  <c r="B79" i="45"/>
  <c r="B57" i="45"/>
  <c r="C50" i="45"/>
  <c r="C52" i="45"/>
  <c r="B39" i="45"/>
  <c r="B14" i="45"/>
  <c r="D146" i="41"/>
  <c r="D120" i="41"/>
  <c r="F106" i="41"/>
  <c r="G99" i="41"/>
  <c r="D98" i="41"/>
  <c r="C82" i="41"/>
  <c r="C72" i="41"/>
  <c r="C55" i="41"/>
  <c r="F49" i="41"/>
  <c r="F51" i="41"/>
  <c r="C36" i="41"/>
  <c r="D14" i="41"/>
  <c r="G424" i="36"/>
  <c r="F105" i="41"/>
  <c r="H105" i="41"/>
  <c r="G90" i="41"/>
  <c r="F90" i="41"/>
  <c r="H90" i="41"/>
  <c r="E161" i="41"/>
  <c r="F483" i="36"/>
  <c r="F487" i="36"/>
  <c r="F404" i="36"/>
  <c r="F365" i="36"/>
  <c r="H55" i="41"/>
  <c r="H163" i="41"/>
  <c r="H164" i="41"/>
  <c r="B185" i="45"/>
  <c r="B148" i="45"/>
  <c r="B126" i="45"/>
  <c r="C75" i="45"/>
  <c r="B63" i="45"/>
  <c r="B45" i="45"/>
  <c r="B40" i="45"/>
  <c r="B6" i="45"/>
  <c r="C6" i="45"/>
  <c r="C166" i="41"/>
  <c r="D134" i="41"/>
  <c r="C114" i="41"/>
  <c r="F69" i="41"/>
  <c r="C60" i="41"/>
  <c r="C43" i="41"/>
  <c r="C37" i="41"/>
  <c r="F5" i="41"/>
  <c r="C5" i="41"/>
  <c r="D31" i="52"/>
  <c r="C31" i="52"/>
  <c r="D32" i="52"/>
  <c r="D25" i="52"/>
  <c r="J437" i="36"/>
  <c r="C349" i="36"/>
  <c r="E40" i="41"/>
  <c r="D162" i="41"/>
  <c r="B179" i="45"/>
  <c r="B165" i="45"/>
  <c r="C120" i="45"/>
  <c r="B114" i="45"/>
  <c r="C58" i="45"/>
  <c r="B13" i="45"/>
  <c r="C152" i="41"/>
  <c r="F109" i="41"/>
  <c r="C103" i="41"/>
  <c r="F56" i="41"/>
  <c r="C13" i="41"/>
  <c r="B51" i="45"/>
  <c r="B158" i="45"/>
  <c r="B140" i="45"/>
  <c r="B137" i="45"/>
  <c r="B136" i="45"/>
  <c r="B134" i="45"/>
  <c r="B120" i="45"/>
  <c r="B98" i="45"/>
  <c r="B89" i="45"/>
  <c r="G58" i="41"/>
  <c r="B85" i="45"/>
  <c r="C60" i="45"/>
  <c r="B54" i="45"/>
  <c r="B49" i="45"/>
  <c r="B43" i="45"/>
  <c r="B18" i="45"/>
  <c r="B3" i="45"/>
  <c r="D2" i="52"/>
  <c r="G37" i="53"/>
  <c r="F37" i="53"/>
  <c r="G49" i="53"/>
  <c r="F47" i="53"/>
  <c r="F46" i="53"/>
  <c r="G45" i="53"/>
  <c r="G44" i="53"/>
  <c r="F44" i="53"/>
  <c r="F42" i="53"/>
  <c r="G42" i="53"/>
  <c r="G39" i="53"/>
  <c r="G33" i="53"/>
  <c r="F33" i="53"/>
  <c r="G32" i="53"/>
  <c r="F32" i="53"/>
  <c r="G30" i="53"/>
  <c r="G29" i="53"/>
  <c r="G25" i="53"/>
  <c r="F25" i="53"/>
  <c r="G24" i="53"/>
  <c r="F24" i="53"/>
  <c r="G22" i="53"/>
  <c r="G21" i="53"/>
  <c r="G18" i="53"/>
  <c r="G11" i="53"/>
  <c r="G10" i="53"/>
  <c r="D46" i="53"/>
  <c r="C46" i="53"/>
  <c r="D45" i="53"/>
  <c r="D44" i="53"/>
  <c r="D43" i="53"/>
  <c r="D41" i="53"/>
  <c r="C41" i="53"/>
  <c r="D39" i="53"/>
  <c r="C38" i="53"/>
  <c r="D38" i="53"/>
  <c r="D35" i="53"/>
  <c r="C35" i="53"/>
  <c r="D34" i="53"/>
  <c r="C34" i="53"/>
  <c r="D31" i="53"/>
  <c r="C31" i="53"/>
  <c r="D30" i="53"/>
  <c r="C29" i="53"/>
  <c r="C28" i="53"/>
  <c r="D28" i="53"/>
  <c r="D26" i="53"/>
  <c r="D25" i="53"/>
  <c r="D23" i="53"/>
  <c r="D22" i="53"/>
  <c r="C21" i="53"/>
  <c r="D20" i="53"/>
  <c r="C20" i="53"/>
  <c r="D19" i="53"/>
  <c r="D18" i="53"/>
  <c r="D16" i="53"/>
  <c r="D14" i="53"/>
  <c r="C14" i="53"/>
  <c r="C11" i="53"/>
  <c r="C10" i="53"/>
  <c r="D9" i="53"/>
  <c r="D7" i="53"/>
  <c r="D6" i="53"/>
  <c r="G34" i="53"/>
  <c r="H121" i="41"/>
  <c r="G121" i="41"/>
  <c r="F121" i="41"/>
  <c r="G12" i="41"/>
  <c r="F8" i="41"/>
  <c r="G72" i="41"/>
  <c r="D157" i="41"/>
  <c r="H70" i="41"/>
  <c r="I166" i="41" l="1"/>
  <c r="I163" i="41"/>
  <c r="I162" i="41"/>
  <c r="I161" i="41"/>
  <c r="I159" i="41"/>
  <c r="I157" i="41"/>
  <c r="I154" i="41"/>
  <c r="I143" i="41"/>
  <c r="I137" i="41"/>
  <c r="I134" i="41"/>
  <c r="I124" i="41"/>
  <c r="I123" i="41"/>
  <c r="I119" i="41"/>
  <c r="I117" i="41"/>
  <c r="I113" i="41"/>
  <c r="I112" i="41"/>
  <c r="I109" i="41"/>
  <c r="I100" i="41"/>
  <c r="I99" i="41"/>
  <c r="I97" i="41"/>
  <c r="I92" i="41"/>
  <c r="I91" i="41"/>
  <c r="I90" i="41"/>
  <c r="I89" i="41"/>
  <c r="I88" i="41"/>
  <c r="I81" i="41"/>
  <c r="I78" i="41"/>
  <c r="I73" i="41"/>
  <c r="I72" i="41"/>
  <c r="I64" i="41"/>
  <c r="I61" i="41"/>
  <c r="I59" i="41"/>
  <c r="I56" i="41"/>
  <c r="I55" i="41"/>
  <c r="I47" i="41"/>
  <c r="I46" i="41"/>
  <c r="I43" i="41"/>
  <c r="I39" i="41"/>
  <c r="I36" i="41"/>
  <c r="I30" i="41"/>
  <c r="I27" i="41"/>
  <c r="I17" i="41"/>
  <c r="I16" i="41"/>
  <c r="I12" i="41"/>
  <c r="I8" i="41"/>
  <c r="I6" i="41"/>
  <c r="I5" i="41"/>
  <c r="I3" i="41"/>
  <c r="E37" i="41"/>
  <c r="E165" i="41"/>
  <c r="E164" i="41"/>
  <c r="E163" i="41"/>
  <c r="E162" i="41"/>
  <c r="E159" i="41"/>
  <c r="E157" i="41"/>
  <c r="E155" i="41"/>
  <c r="E154" i="41"/>
  <c r="E152" i="41"/>
  <c r="E149" i="41"/>
  <c r="E146" i="41"/>
  <c r="E145" i="41"/>
  <c r="E144" i="41"/>
  <c r="E143" i="41"/>
  <c r="E141" i="41"/>
  <c r="E137" i="41"/>
  <c r="E134" i="41"/>
  <c r="E133" i="41"/>
  <c r="E132" i="41"/>
  <c r="E129" i="41"/>
  <c r="E127" i="41"/>
  <c r="E124" i="41"/>
  <c r="E123" i="41"/>
  <c r="E120" i="41"/>
  <c r="E115" i="41"/>
  <c r="E114" i="41"/>
  <c r="E109" i="41"/>
  <c r="E105" i="41"/>
  <c r="E101" i="41"/>
  <c r="E100" i="41"/>
  <c r="E99" i="41"/>
  <c r="E98" i="41"/>
  <c r="E97" i="41"/>
  <c r="E92" i="41"/>
  <c r="E91" i="41"/>
  <c r="E90" i="41"/>
  <c r="E89" i="41"/>
  <c r="E88" i="41"/>
  <c r="E84" i="41"/>
  <c r="E83" i="41"/>
  <c r="E82" i="41"/>
  <c r="E78" i="41"/>
  <c r="E77" i="41"/>
  <c r="E75" i="41"/>
  <c r="E73" i="41"/>
  <c r="E72" i="41"/>
  <c r="E71" i="41"/>
  <c r="E70" i="41"/>
  <c r="E69" i="41"/>
  <c r="E68" i="41"/>
  <c r="E67" i="41"/>
  <c r="E64" i="41"/>
  <c r="E61" i="41"/>
  <c r="E59" i="41"/>
  <c r="E56" i="41"/>
  <c r="E53" i="41"/>
  <c r="E52" i="41"/>
  <c r="E51" i="41"/>
  <c r="E50" i="41"/>
  <c r="E49" i="41"/>
  <c r="E48" i="41"/>
  <c r="E47" i="41"/>
  <c r="E43" i="41"/>
  <c r="E41" i="41"/>
  <c r="E39" i="41"/>
  <c r="E36" i="41"/>
  <c r="E34" i="41"/>
  <c r="E33" i="41"/>
  <c r="E30" i="41"/>
  <c r="E27" i="41"/>
  <c r="E26" i="41"/>
  <c r="E23" i="41"/>
  <c r="E19" i="41"/>
  <c r="E18" i="41"/>
  <c r="E17" i="41"/>
  <c r="E14" i="41"/>
  <c r="E12" i="41"/>
  <c r="E10" i="41"/>
  <c r="E8" i="41"/>
  <c r="E7" i="41"/>
  <c r="E6" i="41"/>
  <c r="E5" i="41"/>
  <c r="E4" i="41"/>
  <c r="E3" i="41"/>
  <c r="D167" i="41"/>
  <c r="D164" i="41"/>
  <c r="D163" i="41"/>
  <c r="D161" i="41"/>
  <c r="D160" i="41"/>
  <c r="D156" i="41"/>
  <c r="D153" i="41"/>
  <c r="D148" i="41"/>
  <c r="D144" i="41"/>
  <c r="D143" i="41"/>
  <c r="D139" i="41"/>
  <c r="D137" i="41"/>
  <c r="D136" i="41"/>
  <c r="D133" i="41"/>
  <c r="D132" i="41"/>
  <c r="D129" i="41"/>
  <c r="D127" i="41"/>
  <c r="D125" i="41"/>
  <c r="D124" i="41"/>
  <c r="D123" i="41"/>
  <c r="D121" i="41"/>
  <c r="D119" i="41"/>
  <c r="D115" i="41"/>
  <c r="D114" i="41"/>
  <c r="D113" i="41"/>
  <c r="D109" i="41"/>
  <c r="D106" i="41"/>
  <c r="D103" i="41"/>
  <c r="D99" i="41"/>
  <c r="D97" i="41"/>
  <c r="D96" i="41"/>
  <c r="D95" i="41"/>
  <c r="D94" i="41"/>
  <c r="D91" i="41"/>
  <c r="D90" i="41"/>
  <c r="D88" i="41"/>
  <c r="D84" i="41"/>
  <c r="D82" i="41"/>
  <c r="D81" i="41"/>
  <c r="D77" i="41"/>
  <c r="D72" i="41"/>
  <c r="D71" i="41"/>
  <c r="D70" i="41"/>
  <c r="D65" i="41"/>
  <c r="D64" i="41"/>
  <c r="D61" i="41"/>
  <c r="D59" i="41"/>
  <c r="D58" i="41"/>
  <c r="D56" i="41"/>
  <c r="D55" i="41"/>
  <c r="D53" i="41"/>
  <c r="D52" i="41"/>
  <c r="D51" i="41"/>
  <c r="D50" i="41"/>
  <c r="D48" i="41"/>
  <c r="D47" i="41"/>
  <c r="D46" i="41"/>
  <c r="D44" i="41"/>
  <c r="D42" i="41"/>
  <c r="D39" i="41"/>
  <c r="D36" i="41"/>
  <c r="D34" i="41"/>
  <c r="D33" i="41"/>
  <c r="D32" i="41"/>
  <c r="D31" i="41"/>
  <c r="D30" i="41"/>
  <c r="D29" i="41"/>
  <c r="D26" i="41"/>
  <c r="D25" i="41"/>
  <c r="D24" i="41"/>
  <c r="D19" i="41"/>
  <c r="D18" i="41"/>
  <c r="D17" i="41"/>
  <c r="D16" i="41"/>
  <c r="D15" i="41"/>
  <c r="D13" i="41"/>
  <c r="D9" i="41"/>
  <c r="D7" i="41"/>
  <c r="D6" i="41"/>
  <c r="D5" i="41"/>
  <c r="D4" i="41"/>
  <c r="D3" i="41"/>
  <c r="C164" i="41"/>
  <c r="C163" i="41"/>
  <c r="C160" i="41"/>
  <c r="C156" i="41"/>
  <c r="C155" i="41"/>
  <c r="C154" i="41"/>
  <c r="C153" i="41"/>
  <c r="C144" i="41"/>
  <c r="C143" i="41"/>
  <c r="C140" i="41"/>
  <c r="C135" i="41"/>
  <c r="C132" i="41"/>
  <c r="C127" i="41"/>
  <c r="C125" i="41"/>
  <c r="C124" i="41"/>
  <c r="C123" i="41"/>
  <c r="C121" i="41"/>
  <c r="C119" i="41"/>
  <c r="C113" i="41"/>
  <c r="C112" i="41"/>
  <c r="C109" i="41"/>
  <c r="C106" i="41"/>
  <c r="C105" i="41"/>
  <c r="C97" i="41"/>
  <c r="C94" i="41"/>
  <c r="C91" i="41"/>
  <c r="C89" i="41"/>
  <c r="C87" i="41"/>
  <c r="C84" i="41"/>
  <c r="C81" i="41"/>
  <c r="C75" i="41"/>
  <c r="C67" i="41"/>
  <c r="C66" i="41"/>
  <c r="C59" i="41"/>
  <c r="C56" i="41"/>
  <c r="C53" i="41"/>
  <c r="C48" i="41"/>
  <c r="C47" i="41"/>
  <c r="C46" i="41"/>
  <c r="C42" i="41"/>
  <c r="C31" i="41"/>
  <c r="C30" i="41"/>
  <c r="C29" i="41"/>
  <c r="C26" i="41"/>
  <c r="C25" i="41"/>
  <c r="C24" i="41"/>
  <c r="C22" i="41"/>
  <c r="C12" i="41"/>
  <c r="C9" i="41"/>
  <c r="C7" i="41"/>
  <c r="C6" i="41"/>
  <c r="C3" i="41"/>
  <c r="H170" i="41"/>
  <c r="H169" i="41"/>
  <c r="H168" i="41"/>
  <c r="H167" i="41"/>
  <c r="H162" i="41"/>
  <c r="H161" i="41"/>
  <c r="H157" i="41"/>
  <c r="H156" i="41"/>
  <c r="H155" i="41"/>
  <c r="H148" i="41"/>
  <c r="H146" i="41"/>
  <c r="H140" i="41"/>
  <c r="H134" i="41"/>
  <c r="H125" i="41"/>
  <c r="H124" i="41"/>
  <c r="H123" i="41"/>
  <c r="H118" i="41"/>
  <c r="H113" i="41"/>
  <c r="H110" i="41"/>
  <c r="H109" i="41"/>
  <c r="H108" i="41"/>
  <c r="H106" i="41"/>
  <c r="H101" i="41"/>
  <c r="H100" i="41"/>
  <c r="H98" i="41"/>
  <c r="H96" i="41"/>
  <c r="H92" i="41"/>
  <c r="H91" i="41"/>
  <c r="H89" i="41"/>
  <c r="H88" i="41"/>
  <c r="H87" i="41"/>
  <c r="H82" i="41"/>
  <c r="H81" i="41"/>
  <c r="H78" i="41"/>
  <c r="H77" i="41"/>
  <c r="H75" i="41"/>
  <c r="H74" i="41"/>
  <c r="H73" i="41"/>
  <c r="H59" i="41"/>
  <c r="H56" i="41"/>
  <c r="H51" i="41"/>
  <c r="H50" i="41"/>
  <c r="H49" i="41"/>
  <c r="H47" i="41"/>
  <c r="H46" i="41"/>
  <c r="H43" i="41"/>
  <c r="H42" i="41"/>
  <c r="H41" i="41"/>
  <c r="H40" i="41"/>
  <c r="H39" i="41"/>
  <c r="H36" i="41"/>
  <c r="H35" i="41"/>
  <c r="H34" i="41"/>
  <c r="H33" i="41"/>
  <c r="H30" i="41"/>
  <c r="H23" i="41"/>
  <c r="H19" i="41"/>
  <c r="H18" i="41"/>
  <c r="H17" i="41"/>
  <c r="H13" i="41"/>
  <c r="H12" i="41"/>
  <c r="H3" i="41"/>
  <c r="G170" i="41"/>
  <c r="G159" i="41"/>
  <c r="G156" i="41"/>
  <c r="G148" i="41"/>
  <c r="G143" i="41"/>
  <c r="G142" i="41"/>
  <c r="G124" i="41"/>
  <c r="G123" i="41"/>
  <c r="G119" i="41"/>
  <c r="G116" i="41"/>
  <c r="G101" i="41"/>
  <c r="G98" i="41"/>
  <c r="G97" i="41"/>
  <c r="G89" i="41"/>
  <c r="G78" i="41"/>
  <c r="G75" i="41"/>
  <c r="G59" i="41"/>
  <c r="G56" i="41"/>
  <c r="G52" i="41"/>
  <c r="G51" i="41"/>
  <c r="G48" i="41"/>
  <c r="G45" i="41"/>
  <c r="G33" i="41"/>
  <c r="G31" i="41"/>
  <c r="G30" i="41"/>
  <c r="G21" i="41"/>
  <c r="G13" i="41"/>
  <c r="G8" i="41"/>
  <c r="G5" i="41"/>
  <c r="F169" i="41"/>
  <c r="F166" i="41"/>
  <c r="F161" i="41"/>
  <c r="F156" i="41"/>
  <c r="F155" i="41"/>
  <c r="F154" i="41"/>
  <c r="F153" i="41"/>
  <c r="F146" i="41"/>
  <c r="F144" i="41"/>
  <c r="F143" i="41"/>
  <c r="F137" i="41"/>
  <c r="F135" i="41"/>
  <c r="F134" i="41"/>
  <c r="F132" i="41"/>
  <c r="F125" i="41"/>
  <c r="F124" i="41"/>
  <c r="F122" i="41"/>
  <c r="F119" i="41"/>
  <c r="F116" i="41"/>
  <c r="F113" i="41"/>
  <c r="F111" i="41"/>
  <c r="F100" i="41"/>
  <c r="F91" i="41"/>
  <c r="F86" i="41"/>
  <c r="F84" i="41"/>
  <c r="F82" i="41"/>
  <c r="F81" i="41"/>
  <c r="F79" i="41"/>
  <c r="F78" i="41"/>
  <c r="F77" i="41"/>
  <c r="F75" i="41"/>
  <c r="F74" i="41"/>
  <c r="F73" i="41"/>
  <c r="F68" i="41"/>
  <c r="F64" i="41"/>
  <c r="F61" i="41"/>
  <c r="F60" i="41"/>
  <c r="F53" i="41"/>
  <c r="F50" i="41"/>
  <c r="F48" i="41"/>
  <c r="F47" i="41"/>
  <c r="F45" i="41"/>
  <c r="F44" i="41"/>
  <c r="F39" i="41"/>
  <c r="F37" i="41"/>
  <c r="F36" i="41"/>
  <c r="F35" i="41"/>
  <c r="F30" i="41"/>
  <c r="F29" i="41"/>
  <c r="F28" i="41"/>
  <c r="F27" i="41"/>
  <c r="F26" i="41"/>
  <c r="F23" i="41"/>
  <c r="F19" i="41"/>
  <c r="F18" i="41"/>
  <c r="F7" i="41"/>
  <c r="F6" i="41"/>
  <c r="F3" i="41"/>
  <c r="C41" i="52" l="1"/>
  <c r="D33" i="52"/>
  <c r="D34" i="52"/>
  <c r="D35" i="52"/>
  <c r="C35" i="52"/>
  <c r="C34" i="52"/>
  <c r="C33" i="52"/>
  <c r="D4" i="52"/>
  <c r="C4" i="52"/>
  <c r="C40" i="52"/>
  <c r="D11" i="52"/>
  <c r="F8" i="53"/>
  <c r="D16" i="52"/>
  <c r="C18" i="52"/>
  <c r="D12" i="52" l="1"/>
  <c r="D17" i="52"/>
  <c r="C19" i="52"/>
  <c r="C8" i="52"/>
  <c r="D36" i="52"/>
  <c r="D27" i="52"/>
  <c r="D28" i="52"/>
  <c r="D10" i="52"/>
  <c r="C13" i="52"/>
  <c r="D21" i="52"/>
  <c r="D9" i="52"/>
  <c r="C39" i="52"/>
  <c r="C3" i="52"/>
  <c r="D3" i="52"/>
  <c r="C28" i="52"/>
  <c r="C37" i="52"/>
  <c r="C26" i="52"/>
  <c r="D24" i="52" l="1"/>
  <c r="C24" i="52"/>
  <c r="D14" i="52"/>
  <c r="F7" i="53"/>
  <c r="F48" i="53"/>
  <c r="G43" i="53"/>
  <c r="F43" i="53"/>
  <c r="G41" i="53"/>
  <c r="F40" i="53"/>
  <c r="G28" i="53"/>
  <c r="G27" i="53"/>
  <c r="G20" i="53"/>
  <c r="G19" i="53"/>
  <c r="G14" i="53"/>
  <c r="G12" i="53"/>
  <c r="G13" i="53"/>
  <c r="D50" i="53"/>
  <c r="D49" i="53"/>
  <c r="D47" i="53"/>
  <c r="D37" i="53"/>
  <c r="D33" i="53"/>
  <c r="C24" i="53"/>
  <c r="C19" i="53"/>
  <c r="D17" i="53"/>
  <c r="C17" i="53"/>
  <c r="D10" i="53"/>
  <c r="D119" i="45" l="1"/>
  <c r="D14" i="45"/>
  <c r="D121" i="45"/>
  <c r="C13" i="53"/>
  <c r="D5" i="52"/>
  <c r="D6" i="52"/>
  <c r="D147" i="45"/>
  <c r="C15" i="52"/>
  <c r="D34" i="45"/>
  <c r="C7" i="52"/>
  <c r="D51" i="53"/>
  <c r="D42" i="52"/>
  <c r="C42" i="52"/>
  <c r="D22" i="52"/>
  <c r="F38" i="53"/>
  <c r="G6" i="53"/>
  <c r="F31" i="53"/>
  <c r="G26" i="53"/>
  <c r="F23" i="53"/>
  <c r="G15" i="53"/>
  <c r="F9" i="53"/>
  <c r="D42" i="53"/>
  <c r="D36" i="53"/>
  <c r="C32" i="53"/>
  <c r="D8" i="53"/>
  <c r="D171" i="41" l="1"/>
  <c r="E171" i="41"/>
  <c r="C497" i="36" l="1" a="1"/>
  <c r="C497" i="36" s="1"/>
  <c r="D23" i="52"/>
  <c r="C498" i="36" l="1" a="1"/>
  <c r="C498" i="36" s="1"/>
  <c r="C499" i="36" a="1"/>
  <c r="C499" i="36" s="1"/>
  <c r="C9" i="52"/>
  <c r="E191" i="45"/>
  <c r="D10" i="45"/>
  <c r="E53" i="53" l="1" a="1"/>
  <c r="E53" i="53" s="1"/>
  <c r="D11" i="53"/>
  <c r="D12" i="53"/>
  <c r="D13" i="53"/>
  <c r="D15" i="53"/>
  <c r="F17" i="53"/>
  <c r="C27" i="53"/>
  <c r="G35" i="53"/>
  <c r="G36" i="53"/>
  <c r="D48" i="53"/>
  <c r="F50" i="53"/>
  <c r="D20" i="52"/>
  <c r="D29" i="52"/>
  <c r="D30" i="52"/>
  <c r="C38" i="52"/>
  <c r="D45" i="52" l="1" a="1"/>
  <c r="D45" i="52" s="1"/>
  <c r="D26" i="45"/>
  <c r="K170" i="41" l="1"/>
  <c r="D180" i="45"/>
  <c r="D178" i="45"/>
  <c r="K72" i="41"/>
  <c r="D132" i="45"/>
  <c r="D116" i="45"/>
  <c r="D98" i="45"/>
  <c r="D24" i="45"/>
  <c r="K163" i="41"/>
  <c r="K101" i="41"/>
  <c r="K135" i="41"/>
  <c r="K494" i="36"/>
  <c r="J494" i="36"/>
  <c r="H494" i="36"/>
  <c r="G494" i="36"/>
  <c r="D494" i="36"/>
  <c r="C494" i="36"/>
  <c r="D302" i="36"/>
  <c r="C295" i="36"/>
  <c r="C294" i="36"/>
  <c r="C293" i="36"/>
  <c r="C291" i="36"/>
  <c r="C288" i="36"/>
  <c r="C287" i="36"/>
  <c r="C286" i="36"/>
  <c r="C277" i="36"/>
  <c r="C275" i="36"/>
  <c r="C274" i="36"/>
  <c r="C271" i="36"/>
  <c r="C270" i="36"/>
  <c r="C268" i="36"/>
  <c r="C267" i="36"/>
  <c r="C261" i="36"/>
  <c r="C260" i="36"/>
  <c r="C259" i="36"/>
  <c r="C254" i="36"/>
  <c r="C252" i="36"/>
  <c r="C249" i="36"/>
  <c r="C247" i="36"/>
  <c r="C242" i="36"/>
  <c r="C241" i="36"/>
  <c r="C238" i="36"/>
  <c r="C237" i="36"/>
  <c r="C232" i="36"/>
  <c r="C229" i="36"/>
  <c r="C225" i="36"/>
  <c r="C224" i="36"/>
  <c r="C223" i="36"/>
  <c r="C222" i="36"/>
  <c r="C221" i="36"/>
  <c r="C220" i="36"/>
  <c r="C218" i="36"/>
  <c r="C216" i="36"/>
  <c r="C214" i="36"/>
  <c r="C213" i="36"/>
  <c r="C212" i="36"/>
  <c r="C208" i="36"/>
  <c r="C205" i="36"/>
  <c r="C202" i="36"/>
  <c r="C201" i="36"/>
  <c r="D192" i="36"/>
  <c r="C181" i="36"/>
  <c r="C148" i="36"/>
  <c r="C144" i="36"/>
  <c r="C142" i="36"/>
  <c r="C124" i="36"/>
  <c r="C109" i="36"/>
  <c r="C93" i="36"/>
  <c r="D83" i="36"/>
  <c r="C81" i="36"/>
  <c r="C80" i="36"/>
  <c r="C79" i="36"/>
  <c r="C78" i="36"/>
  <c r="C76" i="36"/>
  <c r="C75" i="36"/>
  <c r="C74" i="36"/>
  <c r="C73" i="36"/>
  <c r="C72" i="36"/>
  <c r="C70" i="36"/>
  <c r="C69" i="36"/>
  <c r="C68" i="36"/>
  <c r="C65" i="36"/>
  <c r="C64" i="36"/>
  <c r="C58" i="36"/>
  <c r="C53" i="36"/>
  <c r="C51" i="36"/>
  <c r="C45" i="36"/>
  <c r="C43" i="36"/>
  <c r="C42" i="36"/>
  <c r="C41" i="36"/>
  <c r="C40" i="36"/>
  <c r="C39" i="36"/>
  <c r="C38" i="36"/>
  <c r="C37" i="36"/>
  <c r="C36" i="36"/>
  <c r="D26" i="36"/>
  <c r="D56" i="36" s="1"/>
  <c r="C25" i="36"/>
  <c r="C24" i="36"/>
  <c r="C23" i="36"/>
  <c r="C22" i="36"/>
  <c r="C20" i="36"/>
  <c r="C19" i="36"/>
  <c r="C18" i="36"/>
  <c r="C17" i="36"/>
  <c r="C16" i="36"/>
  <c r="C15" i="36"/>
  <c r="C14" i="36"/>
  <c r="C13" i="36"/>
  <c r="C12" i="36"/>
  <c r="C7" i="36"/>
  <c r="C6" i="36"/>
  <c r="D190" i="45"/>
  <c r="D189" i="45"/>
  <c r="D188" i="45"/>
  <c r="D187" i="45"/>
  <c r="D186" i="45"/>
  <c r="D185" i="45"/>
  <c r="D184" i="45"/>
  <c r="D183" i="45"/>
  <c r="D182" i="45"/>
  <c r="D181" i="45"/>
  <c r="D179" i="45"/>
  <c r="D177" i="45"/>
  <c r="D176" i="45"/>
  <c r="D175" i="45"/>
  <c r="D174" i="45"/>
  <c r="D173" i="45"/>
  <c r="D172" i="45"/>
  <c r="D171" i="45"/>
  <c r="D170" i="45"/>
  <c r="D169" i="45"/>
  <c r="D168" i="45"/>
  <c r="D167" i="45"/>
  <c r="D166" i="45"/>
  <c r="D165" i="45"/>
  <c r="D164" i="45"/>
  <c r="D163" i="45"/>
  <c r="D162" i="45"/>
  <c r="D161" i="45"/>
  <c r="D160" i="45"/>
  <c r="D159" i="45"/>
  <c r="D158" i="45"/>
  <c r="D157" i="45"/>
  <c r="D156" i="45"/>
  <c r="D155" i="45"/>
  <c r="D154" i="45"/>
  <c r="D153" i="45"/>
  <c r="D152" i="45"/>
  <c r="D151" i="45"/>
  <c r="D150" i="45"/>
  <c r="D149" i="45"/>
  <c r="D148" i="45"/>
  <c r="D146" i="45"/>
  <c r="D145" i="45"/>
  <c r="D144" i="45"/>
  <c r="D143" i="45"/>
  <c r="D142" i="45"/>
  <c r="D141" i="45"/>
  <c r="D140" i="45"/>
  <c r="D139" i="45"/>
  <c r="D138" i="45"/>
  <c r="D137" i="45"/>
  <c r="D136" i="45"/>
  <c r="D135" i="45"/>
  <c r="D134" i="45"/>
  <c r="D133" i="45"/>
  <c r="D131" i="45"/>
  <c r="D130" i="45"/>
  <c r="D129" i="45"/>
  <c r="D128" i="45"/>
  <c r="D127" i="45"/>
  <c r="D126" i="45"/>
  <c r="D125" i="45"/>
  <c r="D124" i="45"/>
  <c r="D123" i="45"/>
  <c r="D122" i="45"/>
  <c r="D120" i="45"/>
  <c r="D118" i="45"/>
  <c r="D117" i="45"/>
  <c r="D115" i="45"/>
  <c r="D114" i="45"/>
  <c r="D113" i="45"/>
  <c r="D112" i="45"/>
  <c r="D111" i="45"/>
  <c r="D110" i="45"/>
  <c r="D109" i="45"/>
  <c r="D108" i="45"/>
  <c r="D107" i="45"/>
  <c r="D106" i="45"/>
  <c r="D105" i="45"/>
  <c r="D104" i="45"/>
  <c r="D103" i="45"/>
  <c r="D102" i="45"/>
  <c r="D101" i="45"/>
  <c r="D100" i="45"/>
  <c r="D99" i="45"/>
  <c r="D97" i="45"/>
  <c r="D96" i="45"/>
  <c r="D95" i="45"/>
  <c r="D94" i="45"/>
  <c r="D93" i="45"/>
  <c r="D92" i="45"/>
  <c r="D91" i="45"/>
  <c r="D90" i="45"/>
  <c r="D89" i="45"/>
  <c r="D88" i="45"/>
  <c r="D87" i="45"/>
  <c r="D86" i="45"/>
  <c r="D85" i="45"/>
  <c r="D84" i="45"/>
  <c r="D83" i="45"/>
  <c r="D82" i="45"/>
  <c r="D81" i="45"/>
  <c r="D80" i="45"/>
  <c r="D79" i="45"/>
  <c r="D78" i="45"/>
  <c r="D77" i="45"/>
  <c r="D76" i="45"/>
  <c r="D75" i="45"/>
  <c r="D74" i="45"/>
  <c r="D73" i="45"/>
  <c r="D72" i="45"/>
  <c r="D71" i="45"/>
  <c r="D70" i="45"/>
  <c r="D69" i="45"/>
  <c r="D68" i="45"/>
  <c r="D67" i="45"/>
  <c r="D66" i="45"/>
  <c r="D65" i="45"/>
  <c r="D64" i="45"/>
  <c r="D63" i="45"/>
  <c r="D62" i="45"/>
  <c r="D61" i="45"/>
  <c r="D60" i="45"/>
  <c r="D59" i="45"/>
  <c r="D58" i="45"/>
  <c r="D57" i="45"/>
  <c r="D56" i="45"/>
  <c r="D55" i="45"/>
  <c r="D54" i="45"/>
  <c r="D53" i="45"/>
  <c r="D52" i="45"/>
  <c r="D51" i="45"/>
  <c r="D50" i="45"/>
  <c r="D48" i="45"/>
  <c r="D47" i="45"/>
  <c r="D46" i="45"/>
  <c r="D45" i="45"/>
  <c r="D44" i="45"/>
  <c r="D43" i="45"/>
  <c r="D42" i="45"/>
  <c r="D41" i="45"/>
  <c r="D40" i="45"/>
  <c r="D39" i="45"/>
  <c r="D38" i="45"/>
  <c r="D37" i="45"/>
  <c r="D36" i="45"/>
  <c r="D35" i="45"/>
  <c r="D33" i="45"/>
  <c r="D32" i="45"/>
  <c r="D31" i="45"/>
  <c r="D30" i="45"/>
  <c r="D29" i="45"/>
  <c r="D28" i="45"/>
  <c r="D27" i="45"/>
  <c r="D25" i="45"/>
  <c r="D23" i="45"/>
  <c r="D22" i="45"/>
  <c r="D21" i="45"/>
  <c r="D20" i="45"/>
  <c r="D19" i="45"/>
  <c r="D18" i="45"/>
  <c r="D17" i="45"/>
  <c r="D16" i="45"/>
  <c r="D15" i="45"/>
  <c r="D13" i="45"/>
  <c r="D12" i="45"/>
  <c r="D11" i="45"/>
  <c r="D9" i="45"/>
  <c r="D8" i="45"/>
  <c r="D7" i="45"/>
  <c r="D6" i="45"/>
  <c r="D5" i="45"/>
  <c r="D4" i="45"/>
  <c r="D3" i="45"/>
  <c r="N173" i="41"/>
  <c r="L173" i="41"/>
  <c r="J172" i="41"/>
  <c r="C172" i="41"/>
  <c r="J171" i="41"/>
  <c r="M170" i="41"/>
  <c r="K168" i="41"/>
  <c r="M167" i="41"/>
  <c r="K167" i="41"/>
  <c r="M166" i="41"/>
  <c r="K166" i="41"/>
  <c r="M164" i="41"/>
  <c r="K164" i="41"/>
  <c r="M162" i="41"/>
  <c r="K162" i="41"/>
  <c r="M161" i="41"/>
  <c r="M160" i="41"/>
  <c r="K160" i="41"/>
  <c r="K158" i="41"/>
  <c r="M156" i="41"/>
  <c r="K154" i="41"/>
  <c r="K152" i="41"/>
  <c r="K151" i="41"/>
  <c r="K150" i="41"/>
  <c r="M148" i="41"/>
  <c r="K148" i="41"/>
  <c r="K147" i="41"/>
  <c r="M146" i="41"/>
  <c r="K145" i="41"/>
  <c r="M144" i="41"/>
  <c r="K144" i="41"/>
  <c r="M143" i="41"/>
  <c r="K142" i="41"/>
  <c r="K141" i="41"/>
  <c r="K140" i="41"/>
  <c r="K139" i="41"/>
  <c r="K138" i="41"/>
  <c r="M134" i="41"/>
  <c r="K134" i="41"/>
  <c r="M132" i="41"/>
  <c r="M131" i="41"/>
  <c r="K131" i="41"/>
  <c r="K130" i="41"/>
  <c r="K129" i="41"/>
  <c r="K128" i="41"/>
  <c r="M127" i="41"/>
  <c r="K127" i="41"/>
  <c r="K126" i="41"/>
  <c r="M124" i="41"/>
  <c r="K123" i="41"/>
  <c r="K122" i="41"/>
  <c r="K120" i="41"/>
  <c r="K119" i="41"/>
  <c r="K118" i="41"/>
  <c r="K117" i="41"/>
  <c r="K116" i="41"/>
  <c r="K115" i="41"/>
  <c r="K112" i="41"/>
  <c r="K109" i="41"/>
  <c r="K108" i="41"/>
  <c r="K104" i="41"/>
  <c r="K103" i="41"/>
  <c r="K100" i="41"/>
  <c r="K99" i="41"/>
  <c r="K98" i="41"/>
  <c r="K97" i="41"/>
  <c r="M95" i="41"/>
  <c r="M94" i="41"/>
  <c r="K94" i="41"/>
  <c r="K93" i="41"/>
  <c r="K92" i="41"/>
  <c r="M90" i="41"/>
  <c r="M89" i="41"/>
  <c r="M88" i="41"/>
  <c r="K88" i="41"/>
  <c r="K87" i="41"/>
  <c r="K86" i="41"/>
  <c r="K85" i="41"/>
  <c r="M84" i="41"/>
  <c r="K83" i="41"/>
  <c r="M82" i="41"/>
  <c r="K82" i="41"/>
  <c r="M81" i="41"/>
  <c r="K81" i="41"/>
  <c r="K80" i="41"/>
  <c r="K79" i="41"/>
  <c r="M78" i="41"/>
  <c r="K78" i="41"/>
  <c r="M77" i="41"/>
  <c r="K76" i="41"/>
  <c r="M75" i="41"/>
  <c r="K75" i="41"/>
  <c r="M74" i="41"/>
  <c r="K73" i="41"/>
  <c r="M72" i="41"/>
  <c r="M71" i="41"/>
  <c r="K71" i="41"/>
  <c r="M70" i="41"/>
  <c r="K70" i="41"/>
  <c r="M69" i="41"/>
  <c r="M68" i="41"/>
  <c r="K68" i="41"/>
  <c r="K66" i="41"/>
  <c r="K65" i="41"/>
  <c r="M64" i="41"/>
  <c r="M63" i="41"/>
  <c r="K63" i="41"/>
  <c r="K62" i="41"/>
  <c r="M59" i="41"/>
  <c r="K59" i="41"/>
  <c r="M58" i="41"/>
  <c r="K58" i="41"/>
  <c r="K57" i="41"/>
  <c r="M56" i="41"/>
  <c r="M55" i="41"/>
  <c r="K55" i="41"/>
  <c r="K54" i="41"/>
  <c r="M53" i="41"/>
  <c r="K53" i="41"/>
  <c r="M52" i="41"/>
  <c r="M51" i="41"/>
  <c r="K51" i="41"/>
  <c r="K50" i="41"/>
  <c r="M49" i="41"/>
  <c r="K49" i="41"/>
  <c r="M48" i="41"/>
  <c r="K48" i="41"/>
  <c r="M47" i="41"/>
  <c r="K45" i="41"/>
  <c r="K44" i="41"/>
  <c r="M43" i="41"/>
  <c r="K43" i="41"/>
  <c r="K41" i="41"/>
  <c r="M38" i="41"/>
  <c r="K38" i="41"/>
  <c r="M37" i="41"/>
  <c r="M36" i="41"/>
  <c r="K36" i="41"/>
  <c r="M35" i="41"/>
  <c r="K34" i="41"/>
  <c r="M33" i="41"/>
  <c r="K33" i="41"/>
  <c r="M31" i="41"/>
  <c r="M30" i="41"/>
  <c r="M29" i="41"/>
  <c r="K29" i="41"/>
  <c r="K28" i="41"/>
  <c r="M27" i="41"/>
  <c r="M26" i="41"/>
  <c r="M25" i="41"/>
  <c r="K25" i="41"/>
  <c r="K24" i="41"/>
  <c r="M23" i="41"/>
  <c r="K22" i="41"/>
  <c r="M20" i="41"/>
  <c r="K20" i="41"/>
  <c r="K19" i="41"/>
  <c r="K18" i="41"/>
  <c r="M17" i="41"/>
  <c r="K17" i="41"/>
  <c r="M16" i="41"/>
  <c r="M15" i="41"/>
  <c r="K15" i="41"/>
  <c r="M13" i="41"/>
  <c r="K9" i="41"/>
  <c r="K8" i="41"/>
  <c r="M7" i="41"/>
  <c r="M6" i="41"/>
  <c r="M5" i="41"/>
  <c r="K5" i="41"/>
  <c r="M4" i="41"/>
  <c r="K4" i="41"/>
  <c r="M3" i="41"/>
  <c r="K3" i="41"/>
  <c r="C83" i="36" l="1"/>
  <c r="C86" i="36" s="1"/>
  <c r="C56" i="36"/>
  <c r="C192" i="36"/>
  <c r="C59" i="36"/>
  <c r="C302" i="36"/>
  <c r="K169" i="41"/>
  <c r="K6" i="41"/>
  <c r="K26" i="41"/>
  <c r="K30" i="41"/>
  <c r="K35" i="41"/>
  <c r="K155" i="41"/>
  <c r="K42" i="41"/>
  <c r="K121" i="41"/>
  <c r="K136" i="41"/>
  <c r="K12" i="41"/>
  <c r="K23" i="41"/>
  <c r="K37" i="41"/>
  <c r="K39" i="41"/>
  <c r="K56" i="41"/>
  <c r="K107" i="41"/>
  <c r="K110" i="41"/>
  <c r="K124" i="41"/>
  <c r="K64" i="41"/>
  <c r="K27" i="41"/>
  <c r="K60" i="41"/>
  <c r="K113" i="41"/>
  <c r="K143" i="41"/>
  <c r="K159" i="41"/>
  <c r="K132" i="41"/>
  <c r="M173" i="41"/>
  <c r="K46" i="41"/>
  <c r="K95" i="41"/>
  <c r="K153" i="41"/>
  <c r="K7" i="41"/>
  <c r="K31" i="41"/>
  <c r="K61" i="41"/>
  <c r="K69" i="41"/>
  <c r="K156" i="41"/>
  <c r="D49" i="45"/>
  <c r="K16" i="41"/>
  <c r="K114" i="41"/>
  <c r="G171" i="41"/>
  <c r="G172" i="41" s="1"/>
  <c r="K74" i="41"/>
  <c r="K13" i="41"/>
  <c r="K125" i="41"/>
  <c r="K161" i="41"/>
  <c r="K84" i="41"/>
  <c r="K96" i="41"/>
  <c r="K137" i="41"/>
  <c r="K52" i="41"/>
  <c r="K47" i="41"/>
  <c r="K105" i="41"/>
  <c r="K89" i="41"/>
  <c r="H172" i="41"/>
  <c r="B191" i="45"/>
  <c r="F494" i="36"/>
  <c r="K106" i="41"/>
  <c r="I171" i="41"/>
  <c r="I173" i="41" s="1"/>
  <c r="K146" i="41"/>
  <c r="C191" i="45"/>
  <c r="K157" i="41"/>
  <c r="K90" i="41"/>
  <c r="I494" i="36"/>
  <c r="K77" i="41"/>
  <c r="H171" i="41"/>
  <c r="F172" i="41"/>
  <c r="F171" i="41"/>
  <c r="C171" i="41"/>
  <c r="C173" i="41" s="1"/>
  <c r="I172" i="41"/>
  <c r="K91" i="41"/>
  <c r="D191" i="45" l="1"/>
  <c r="K172" i="41"/>
  <c r="F173" i="41"/>
  <c r="K173" i="4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<sst xmlns="http://schemas.openxmlformats.org/spreadsheetml/2006/main" count="1263" uniqueCount="606">
  <si>
    <t>עמודה1</t>
  </si>
  <si>
    <t xml:space="preserve">שם </t>
  </si>
  <si>
    <t>מוכן</t>
  </si>
  <si>
    <t>לא מוכן</t>
  </si>
  <si>
    <t>שם 2</t>
  </si>
  <si>
    <t>מוכן2</t>
  </si>
  <si>
    <t>לא מוכן2</t>
  </si>
  <si>
    <t>אגפנטוס 7</t>
  </si>
  <si>
    <t>טולבגיה ירוק 7</t>
  </si>
  <si>
    <t>אגפנטוס 4</t>
  </si>
  <si>
    <t>טולבגיה מגוון 7</t>
  </si>
  <si>
    <t>אוג גלאוקה 25</t>
  </si>
  <si>
    <t>טרכלוספרמום 7</t>
  </si>
  <si>
    <t>אוג גלאוקה 7</t>
  </si>
  <si>
    <t>אוג חרוק 7</t>
  </si>
  <si>
    <t>יטרופה 25</t>
  </si>
  <si>
    <t>אוג מסולסל 7</t>
  </si>
  <si>
    <t>יטרופה 7</t>
  </si>
  <si>
    <t>אלת מסטיק 7</t>
  </si>
  <si>
    <t>יסמין סמבק 7</t>
  </si>
  <si>
    <t>אספרגוס 7</t>
  </si>
  <si>
    <t>לגוסטרמיה שיחית 7</t>
  </si>
  <si>
    <t>לויקופילם קומפ. 7</t>
  </si>
  <si>
    <t>אריופס 7</t>
  </si>
  <si>
    <t>ליקופיליום גרין 7</t>
  </si>
  <si>
    <t>ארליה 7</t>
  </si>
  <si>
    <t>ליקופיליום גרין 25</t>
  </si>
  <si>
    <t>אקליפטוס כדורי 7</t>
  </si>
  <si>
    <t>ליקופיליום סאן חוזה 7</t>
  </si>
  <si>
    <t>ליקופיליום סימרון 7</t>
  </si>
  <si>
    <t>ליריופה כדנית 4</t>
  </si>
  <si>
    <t>במבוק ננסי 7</t>
  </si>
  <si>
    <t>ליריופה כדנית 7</t>
  </si>
  <si>
    <t>ביפי 7</t>
  </si>
  <si>
    <t>מורן החורש 7</t>
  </si>
  <si>
    <t>ביפי 4</t>
  </si>
  <si>
    <t>מורן החורש 25</t>
  </si>
  <si>
    <t>מורן נטוי 7</t>
  </si>
  <si>
    <t>מורן מבריק 7</t>
  </si>
  <si>
    <t>בן אלוי 7</t>
  </si>
  <si>
    <t>מורן מבריק 25</t>
  </si>
  <si>
    <t>בן עוזרר הודי 25</t>
  </si>
  <si>
    <t>מרבה חלב 7</t>
  </si>
  <si>
    <t>בן עוזרר הודי 7</t>
  </si>
  <si>
    <t>מוריאה מכבדית 7</t>
  </si>
  <si>
    <t>בן עוזרר סוככני 7</t>
  </si>
  <si>
    <t>ברניה 7</t>
  </si>
  <si>
    <t>ננדינה תרבותית. 7</t>
  </si>
  <si>
    <t>דודוניאה 25</t>
  </si>
  <si>
    <t>ננדינה תרבותית 25</t>
  </si>
  <si>
    <t>דודוניאה 7</t>
  </si>
  <si>
    <t>דורנטה גיישה 7</t>
  </si>
  <si>
    <t>עב שיבולת אדום 7</t>
  </si>
  <si>
    <t>דורנטה תאי 7</t>
  </si>
  <si>
    <t>פיטוספורום ננסי 7</t>
  </si>
  <si>
    <t>דיאנלה מגוונת 4</t>
  </si>
  <si>
    <t>פנדוריאה 7</t>
  </si>
  <si>
    <t>דיאנלה מגוונת 7</t>
  </si>
  <si>
    <t>דיאנלה ירוק 4</t>
  </si>
  <si>
    <t>פיקוס גרין איילנד 7</t>
  </si>
  <si>
    <t>צסטרום ריחני 7</t>
  </si>
  <si>
    <t>דייטס ג"פ 7</t>
  </si>
  <si>
    <t>קריסה ג"ק 7</t>
  </si>
  <si>
    <t>דייטס ד"ג 7</t>
  </si>
  <si>
    <t>קלסטמון ליטל גוהן 7</t>
  </si>
  <si>
    <t>דק פרי כתום 7</t>
  </si>
  <si>
    <t>קרוטון מנוקד 7</t>
  </si>
  <si>
    <t>דק פרי צהוב 7</t>
  </si>
  <si>
    <t>רוסליה ננסית 7</t>
  </si>
  <si>
    <t>הדס טרנטיני 7</t>
  </si>
  <si>
    <t>הדס מצוי 7</t>
  </si>
  <si>
    <t>רוזמרין בלו לגון 7</t>
  </si>
  <si>
    <t>היביסקוס 7</t>
  </si>
  <si>
    <t>רוזמרין זנב שועל 7</t>
  </si>
  <si>
    <t>המליה 7</t>
  </si>
  <si>
    <t>שיח אברהם ארגמני 7</t>
  </si>
  <si>
    <t>שיח אברהם מצוי 7</t>
  </si>
  <si>
    <t>שיח אברהם ארמגני 25</t>
  </si>
  <si>
    <t>גודל 3 Godel</t>
  </si>
  <si>
    <t xml:space="preserve">גודל 4 Godel </t>
  </si>
  <si>
    <t>ריבוי</t>
  </si>
  <si>
    <t>Name</t>
  </si>
  <si>
    <t>שם</t>
  </si>
  <si>
    <t>מוכן3</t>
  </si>
  <si>
    <t>בגידול</t>
  </si>
  <si>
    <t>רק נשתלו</t>
  </si>
  <si>
    <t>מוכן4</t>
  </si>
  <si>
    <t>ייחורים</t>
  </si>
  <si>
    <t>סה"כ כללי</t>
  </si>
  <si>
    <t>נדרש שנתי</t>
  </si>
  <si>
    <t>נדרש ל3</t>
  </si>
  <si>
    <t>נדרש ל4</t>
  </si>
  <si>
    <t>Abelia</t>
  </si>
  <si>
    <t>אבליה</t>
  </si>
  <si>
    <t>Agapantus</t>
  </si>
  <si>
    <t xml:space="preserve">אגפנטוס </t>
  </si>
  <si>
    <t>Og glauka</t>
  </si>
  <si>
    <t>אוג גלאוקה</t>
  </si>
  <si>
    <t>Og haruk</t>
  </si>
  <si>
    <t>אוג חרוק</t>
  </si>
  <si>
    <t>Og mesulsal</t>
  </si>
  <si>
    <t>אוג מסולסל</t>
  </si>
  <si>
    <t>אוזן דוב - ארקטוסיס</t>
  </si>
  <si>
    <t>אוזן ארי</t>
  </si>
  <si>
    <t>איריסינה אחירנטוס</t>
  </si>
  <si>
    <t>elat hamastik</t>
  </si>
  <si>
    <t>אלת המסטיק</t>
  </si>
  <si>
    <t>asparagus</t>
  </si>
  <si>
    <t>אספרגוס מאירי</t>
  </si>
  <si>
    <t>akalifa</t>
  </si>
  <si>
    <t>אקליפה מוזאיקה</t>
  </si>
  <si>
    <t>ariops</t>
  </si>
  <si>
    <t>אריופס-עינן מסרקני</t>
  </si>
  <si>
    <t>bulabin katom</t>
  </si>
  <si>
    <t>בולבין  כתום</t>
  </si>
  <si>
    <t xml:space="preserve"> </t>
  </si>
  <si>
    <t>בולבין צהוב</t>
  </si>
  <si>
    <t>bulabin tzahov</t>
  </si>
  <si>
    <t>בזיל מג'יק מאונטיין</t>
  </si>
  <si>
    <t>ביגוניה פורחת עד</t>
  </si>
  <si>
    <t>bifi</t>
  </si>
  <si>
    <t>ביפי פילדנדרון</t>
  </si>
  <si>
    <t>ביצן צהוב</t>
  </si>
  <si>
    <t>bitzan</t>
  </si>
  <si>
    <t>ביצן רובי</t>
  </si>
  <si>
    <t>bitzan nanasi</t>
  </si>
  <si>
    <t>ביצן רובי ננסי</t>
  </si>
  <si>
    <t>bakris</t>
  </si>
  <si>
    <t>בכריס הכדורים</t>
  </si>
  <si>
    <t>בלמקנדה סינית</t>
  </si>
  <si>
    <t>ben aloi</t>
  </si>
  <si>
    <t>בן אלואה</t>
  </si>
  <si>
    <t>ben uzrar hodi</t>
  </si>
  <si>
    <t>בן עוזרר הודי</t>
  </si>
  <si>
    <t>ben uzrar sukekani</t>
  </si>
  <si>
    <t>בן עוזרר סוככני</t>
  </si>
  <si>
    <t>בן אפר</t>
  </si>
  <si>
    <t>gaura vroda</t>
  </si>
  <si>
    <t>גאורה ורודה</t>
  </si>
  <si>
    <t>גאורה לבנה</t>
  </si>
  <si>
    <t>guzmania</t>
  </si>
  <si>
    <t>גוזמניה</t>
  </si>
  <si>
    <t>gezania afora</t>
  </si>
  <si>
    <t xml:space="preserve">גזניה אפורה זוחלת </t>
  </si>
  <si>
    <t>gezania ashuna</t>
  </si>
  <si>
    <t>גזניה אשונה</t>
  </si>
  <si>
    <t>gezania yeroka</t>
  </si>
  <si>
    <t>גזניה ירוקה זוחלת</t>
  </si>
  <si>
    <t>גולנית</t>
  </si>
  <si>
    <t>גפנית</t>
  </si>
  <si>
    <t xml:space="preserve">גרמית </t>
  </si>
  <si>
    <t>geranium limoni</t>
  </si>
  <si>
    <t>גרניום לימוני</t>
  </si>
  <si>
    <t>גרניום זקוף</t>
  </si>
  <si>
    <t>גת אדום</t>
  </si>
  <si>
    <t>דודונאה דנה</t>
  </si>
  <si>
    <t>doranta geisha</t>
  </si>
  <si>
    <t xml:space="preserve">דורנטה גיישה </t>
  </si>
  <si>
    <t>doranta tai</t>
  </si>
  <si>
    <t>דורנטה תאילנדית</t>
  </si>
  <si>
    <t>dianela yarok</t>
  </si>
  <si>
    <t>דיאנלה ירוקה חרוקה</t>
  </si>
  <si>
    <t>דיאנלה ליטל רב</t>
  </si>
  <si>
    <t>dianela meguvan</t>
  </si>
  <si>
    <t>דיאנלה מגוונת</t>
  </si>
  <si>
    <t>dayetes G F</t>
  </si>
  <si>
    <t>דייטס גרנדיפלורה</t>
  </si>
  <si>
    <t>dayetes du-goni</t>
  </si>
  <si>
    <t>דייטס דו גוני</t>
  </si>
  <si>
    <t>דיכונדרה</t>
  </si>
  <si>
    <t>דיכונדרה אפורה</t>
  </si>
  <si>
    <t>דלוספרמה</t>
  </si>
  <si>
    <t>dak pri katom</t>
  </si>
  <si>
    <t>דק פרי כתום אורנג' ג'ובלי</t>
  </si>
  <si>
    <t>dak pri tzahov</t>
  </si>
  <si>
    <t>דק פרי צהוב מכונף</t>
  </si>
  <si>
    <t>דרדר מאפיר</t>
  </si>
  <si>
    <t>hadas trinity</t>
  </si>
  <si>
    <t>הדס טרניטיני</t>
  </si>
  <si>
    <t>hadas matzoi</t>
  </si>
  <si>
    <t>הדס מצוי</t>
  </si>
  <si>
    <t>היביסקוס סיני</t>
  </si>
  <si>
    <t xml:space="preserve">המליה </t>
  </si>
  <si>
    <t>המרוקליס</t>
  </si>
  <si>
    <t>harduf nanasi</t>
  </si>
  <si>
    <t>הרדוף ננסי</t>
  </si>
  <si>
    <t xml:space="preserve">videlia </t>
  </si>
  <si>
    <t>וידליה</t>
  </si>
  <si>
    <t>זוטה</t>
  </si>
  <si>
    <t>zif adom</t>
  </si>
  <si>
    <t>זיף נוצה אדום</t>
  </si>
  <si>
    <t>zif yarok</t>
  </si>
  <si>
    <t>זיף נוצה ירוק</t>
  </si>
  <si>
    <t>zaken nahash</t>
  </si>
  <si>
    <t>חבושית</t>
  </si>
  <si>
    <t>habalbal</t>
  </si>
  <si>
    <t>חבלבל מאוריטני</t>
  </si>
  <si>
    <t>hamanit</t>
  </si>
  <si>
    <t>חמנית זוחלת</t>
  </si>
  <si>
    <t>חרציתן</t>
  </si>
  <si>
    <t>tulbegia yarok</t>
  </si>
  <si>
    <t>טולבגיה ירוק</t>
  </si>
  <si>
    <t>tulbegia meguvan</t>
  </si>
  <si>
    <t>טולבגיה מגוון</t>
  </si>
  <si>
    <t>טקומית אדום</t>
  </si>
  <si>
    <t>takumit katom</t>
  </si>
  <si>
    <t>טקומית כתום</t>
  </si>
  <si>
    <t>טקומית צהוב</t>
  </si>
  <si>
    <t>traklospermon</t>
  </si>
  <si>
    <t>טרכלוספרמון יסמיני</t>
  </si>
  <si>
    <t>יהודי נודד משתלשל</t>
  </si>
  <si>
    <t>יטרופה</t>
  </si>
  <si>
    <t>yasmin mesni</t>
  </si>
  <si>
    <t>יסמין מסני</t>
  </si>
  <si>
    <t>yarka</t>
  </si>
  <si>
    <t>ירקה</t>
  </si>
  <si>
    <t>kasia sukekanit</t>
  </si>
  <si>
    <t>כסיה סוככנית</t>
  </si>
  <si>
    <t>לואיזה</t>
  </si>
  <si>
    <t>לוונדר מגוון</t>
  </si>
  <si>
    <t>לבנדר מנוצה</t>
  </si>
  <si>
    <t>lavender meshunan</t>
  </si>
  <si>
    <t>לבנדר משונן</t>
  </si>
  <si>
    <t>lavender refui</t>
  </si>
  <si>
    <t>לבנדר רפואי</t>
  </si>
  <si>
    <t>lavender kanari</t>
  </si>
  <si>
    <t>לבנדר קנרי</t>
  </si>
  <si>
    <t xml:space="preserve">לוטם מרווני </t>
  </si>
  <si>
    <t>לוטם שעיר</t>
  </si>
  <si>
    <t>ליקופיליום סימרון</t>
  </si>
  <si>
    <t>lycofilium green cloud</t>
  </si>
  <si>
    <t>ליקופיליום גרין קלאוד</t>
  </si>
  <si>
    <t>lycofilium san hoze</t>
  </si>
  <si>
    <t xml:space="preserve">ליקופיליום סאן חוזה </t>
  </si>
  <si>
    <t>lycofilium compactum</t>
  </si>
  <si>
    <t>ליקופיליום קומפאקטום</t>
  </si>
  <si>
    <t>lantana adom</t>
  </si>
  <si>
    <t>לנטנה חצי זוחל אדום</t>
  </si>
  <si>
    <t>lantana lilachit</t>
  </si>
  <si>
    <t>לנטנה לילכית</t>
  </si>
  <si>
    <t xml:space="preserve">lantana lavan </t>
  </si>
  <si>
    <t>לנטנה ססגונית רדיאיישן</t>
  </si>
  <si>
    <t>lantana tzahov</t>
  </si>
  <si>
    <t>לנטנה עדינה לבן</t>
  </si>
  <si>
    <t>lantana radiation</t>
  </si>
  <si>
    <t>לנטנה צהובה</t>
  </si>
  <si>
    <t>לפופית בלקי</t>
  </si>
  <si>
    <t>לפופית ירוק</t>
  </si>
  <si>
    <t>lariopa yeroka</t>
  </si>
  <si>
    <t>לריופה משובלת</t>
  </si>
  <si>
    <t>lariopa kadanit</t>
  </si>
  <si>
    <t>לריופה כדנית</t>
  </si>
  <si>
    <t xml:space="preserve">mulenbergia </t>
  </si>
  <si>
    <t>מולנברגיה נימית</t>
  </si>
  <si>
    <t>moran harosh</t>
  </si>
  <si>
    <t>מורן החורש</t>
  </si>
  <si>
    <t>מורן נטוי</t>
  </si>
  <si>
    <t>מיופורום ביצני</t>
  </si>
  <si>
    <t>מיופורום ברודליף</t>
  </si>
  <si>
    <t>mioforum adom</t>
  </si>
  <si>
    <t>מיופורום מאדים</t>
  </si>
  <si>
    <t>מיופורום מידליף</t>
  </si>
  <si>
    <t>מלניס</t>
  </si>
  <si>
    <t>melolaika green dome</t>
  </si>
  <si>
    <t>מלולייקה גרין דום</t>
  </si>
  <si>
    <t>מסיקנטוס מגוון</t>
  </si>
  <si>
    <t>marva indigo</t>
  </si>
  <si>
    <t>מרווה אינדיגו</t>
  </si>
  <si>
    <t>marva greg</t>
  </si>
  <si>
    <t>מרווה גרג ורוד</t>
  </si>
  <si>
    <t>marva hotlips</t>
  </si>
  <si>
    <t>מרווה הוט ליפס</t>
  </si>
  <si>
    <t>מרוות יהודה</t>
  </si>
  <si>
    <t>marva tzhora</t>
  </si>
  <si>
    <t>מרווה צחורה</t>
  </si>
  <si>
    <t>marva refui</t>
  </si>
  <si>
    <t>מרווה רפואית</t>
  </si>
  <si>
    <t>מרווה סלמה</t>
  </si>
  <si>
    <t>nandina tarbut</t>
  </si>
  <si>
    <t>מרווה ירושלים</t>
  </si>
  <si>
    <t>naziz</t>
  </si>
  <si>
    <t>נציץ ורוד</t>
  </si>
  <si>
    <t>נר הלילה חופי</t>
  </si>
  <si>
    <t>נר הלילה נאה</t>
  </si>
  <si>
    <t>סביון מלבין</t>
  </si>
  <si>
    <t>savion new look</t>
  </si>
  <si>
    <t>סביון ניו לוק</t>
  </si>
  <si>
    <t>סוסוביום</t>
  </si>
  <si>
    <t>stifa</t>
  </si>
  <si>
    <t>סטיפה</t>
  </si>
  <si>
    <t>santolina afor</t>
  </si>
  <si>
    <t>סנטולינה אפורה</t>
  </si>
  <si>
    <t>סנסיוריה ירוקה</t>
  </si>
  <si>
    <t>עדעד קנרי</t>
  </si>
  <si>
    <t>עופרית הכף כחול</t>
  </si>
  <si>
    <t>עץ השמן</t>
  </si>
  <si>
    <t>עשב לימון</t>
  </si>
  <si>
    <t>פוטוס</t>
  </si>
  <si>
    <t>פוליגלה</t>
  </si>
  <si>
    <t xml:space="preserve">פיטוספורום מגוון </t>
  </si>
  <si>
    <t>fitosporum nanasi</t>
  </si>
  <si>
    <t>פיטוספורום ננסי</t>
  </si>
  <si>
    <t>fikos green iland</t>
  </si>
  <si>
    <t>פיקוס גרין איילנד</t>
  </si>
  <si>
    <t>פלפלון סיני</t>
  </si>
  <si>
    <t>plaktarantus</t>
  </si>
  <si>
    <t>פלקטרנטוס שיפתני</t>
  </si>
  <si>
    <t>פנדוראה יסמינית</t>
  </si>
  <si>
    <t>pants pinkus</t>
  </si>
  <si>
    <t>פנטס פינקוס</t>
  </si>
  <si>
    <t>קולאוס</t>
  </si>
  <si>
    <t>קליאנדרה</t>
  </si>
  <si>
    <t>קופאה ננסית</t>
  </si>
  <si>
    <t>קיסוס מגוון עלה קטן</t>
  </si>
  <si>
    <t>קיסוס ירוק עלה גדול</t>
  </si>
  <si>
    <t>kokolus</t>
  </si>
  <si>
    <t>קיסוס ירוק עלה קטן</t>
  </si>
  <si>
    <t xml:space="preserve">kalistamon </t>
  </si>
  <si>
    <t>קליסטימון ליטל גון</t>
  </si>
  <si>
    <t>karisa green carpet</t>
  </si>
  <si>
    <t>קריסה גרין קארפט</t>
  </si>
  <si>
    <t>רואליה</t>
  </si>
  <si>
    <t xml:space="preserve">rozmarin blue </t>
  </si>
  <si>
    <t>רוזמרין בלו לגון</t>
  </si>
  <si>
    <t>rozmarin zohel</t>
  </si>
  <si>
    <t>רוזמרין זוחל חיפה</t>
  </si>
  <si>
    <t>rozmarin znav shual</t>
  </si>
  <si>
    <t>רוזמרין זנב שועל</t>
  </si>
  <si>
    <t>rozmarin zakuf</t>
  </si>
  <si>
    <t>רוזמרין זקוף</t>
  </si>
  <si>
    <t>roselia adom</t>
  </si>
  <si>
    <t>רוסליה אדומה זקופה</t>
  </si>
  <si>
    <t>roselia nanasi</t>
  </si>
  <si>
    <t>רוסליה אדומה ננסית</t>
  </si>
  <si>
    <t>siah avraham adom</t>
  </si>
  <si>
    <t>שיח אברהם ארגמני</t>
  </si>
  <si>
    <t>שיח אברהם מצוי</t>
  </si>
  <si>
    <t>שרך בוסטון</t>
  </si>
  <si>
    <t>sarak kilyan</t>
  </si>
  <si>
    <t>שרך כיליין</t>
  </si>
  <si>
    <t>סה"כ בשטח</t>
  </si>
  <si>
    <t>שם הצמח</t>
  </si>
  <si>
    <t>גודל 3</t>
  </si>
  <si>
    <t>גודל 4</t>
  </si>
  <si>
    <t>סך מכירות צמח</t>
  </si>
  <si>
    <t>גודל 7</t>
  </si>
  <si>
    <t>אבליה מגוונת</t>
  </si>
  <si>
    <t>אגפנטוס כחול</t>
  </si>
  <si>
    <t>אוזן דב</t>
  </si>
  <si>
    <t>איריסין</t>
  </si>
  <si>
    <t>אחירותם</t>
  </si>
  <si>
    <t>אקליפטוס כדורי</t>
  </si>
  <si>
    <t>בוגונביליה קומפקטום</t>
  </si>
  <si>
    <t>בזיל מג'יק מאונטן</t>
  </si>
  <si>
    <t>ביגוניה</t>
  </si>
  <si>
    <t>גרמית</t>
  </si>
  <si>
    <t>גרניום צרפתי</t>
  </si>
  <si>
    <t>גת</t>
  </si>
  <si>
    <t>דלוספרמת אברדין</t>
  </si>
  <si>
    <t>דק פרי כתום מכונף</t>
  </si>
  <si>
    <t>דק פרי צהוב זקוף</t>
  </si>
  <si>
    <t>הדס טרניטיני מגוון</t>
  </si>
  <si>
    <t>היבסקוס סיני</t>
  </si>
  <si>
    <t>המרוקליס אדום</t>
  </si>
  <si>
    <t>המרוקליס כתום</t>
  </si>
  <si>
    <t>המרוקליס צהוב</t>
  </si>
  <si>
    <t>ויטידניה</t>
  </si>
  <si>
    <t>זיף ירוק שועלי</t>
  </si>
  <si>
    <t>טלמון</t>
  </si>
  <si>
    <t xml:space="preserve">יערה אקרוטית </t>
  </si>
  <si>
    <t>כסיה סטורט</t>
  </si>
  <si>
    <t>לבנדר מגוון</t>
  </si>
  <si>
    <t>לוטם מרווני</t>
  </si>
  <si>
    <t>לימונית סיני</t>
  </si>
  <si>
    <t>לנטנה בננה</t>
  </si>
  <si>
    <t>לנטנה רדיאיישן</t>
  </si>
  <si>
    <t>לפופית הבטטה</t>
  </si>
  <si>
    <t>לפופית בלאקי</t>
  </si>
  <si>
    <t>לריופה ירוקה- משובלת</t>
  </si>
  <si>
    <t>מגינית גבוהה</t>
  </si>
  <si>
    <t>מרבה חלב</t>
  </si>
  <si>
    <t>מלוח זקוף</t>
  </si>
  <si>
    <t xml:space="preserve">מסיקנטוס </t>
  </si>
  <si>
    <t>מרווה יהודה</t>
  </si>
  <si>
    <t>נציץ</t>
  </si>
  <si>
    <t>נר הלילה</t>
  </si>
  <si>
    <t>סנסיוריה</t>
  </si>
  <si>
    <t>עופרית הכף לבן</t>
  </si>
  <si>
    <t>פוליגלה מרבה חלב</t>
  </si>
  <si>
    <t>פיטוספורום מגוון</t>
  </si>
  <si>
    <t>פיקוס פומילה</t>
  </si>
  <si>
    <t>קופאה</t>
  </si>
  <si>
    <t>קורטודריה מכסיפה</t>
  </si>
  <si>
    <t>קיסוס עלה גדול</t>
  </si>
  <si>
    <t>קיסוס עלה קטן</t>
  </si>
  <si>
    <t>קיסוס קטן מגוון</t>
  </si>
  <si>
    <t>קיסוס גדול מגוון</t>
  </si>
  <si>
    <t>קריסה גרנדיפלורה</t>
  </si>
  <si>
    <t>קריתמון ימי</t>
  </si>
  <si>
    <t>רואליה ברייטון</t>
  </si>
  <si>
    <t>רוסליה לבן</t>
  </si>
  <si>
    <t>רותם המדבר</t>
  </si>
  <si>
    <t>שבטבט</t>
  </si>
  <si>
    <t>שפלרה מגוונת</t>
  </si>
  <si>
    <t>גריווילאה ג'ין'ין ג'ם</t>
  </si>
  <si>
    <t>#1/11-30/11</t>
  </si>
  <si>
    <t>דק פרי</t>
  </si>
  <si>
    <t>לנטנה לבנה</t>
  </si>
  <si>
    <t>חבלבל</t>
  </si>
  <si>
    <t>לויקופילום גרין קלאוד</t>
  </si>
  <si>
    <t>לנטנה רדייאשיין</t>
  </si>
  <si>
    <t>לויקופילום קומפקטום</t>
  </si>
  <si>
    <t>אריופס</t>
  </si>
  <si>
    <t>שיח אברהם</t>
  </si>
  <si>
    <t>בכריס</t>
  </si>
  <si>
    <t>סנטולינה</t>
  </si>
  <si>
    <t>לוונדר משונן</t>
  </si>
  <si>
    <t>דורנתה תילאנדית</t>
  </si>
  <si>
    <t>פלקטרנטוס</t>
  </si>
  <si>
    <t>אקליפה</t>
  </si>
  <si>
    <t>דורתנה גיישה גירל</t>
  </si>
  <si>
    <t>לנטנה אדומה</t>
  </si>
  <si>
    <t>רוזמרין בלו לאגון</t>
  </si>
  <si>
    <t>גזניה ירוקה</t>
  </si>
  <si>
    <t>גזניה אפורה</t>
  </si>
  <si>
    <t>גרניום</t>
  </si>
  <si>
    <t>דורנתה גיישה גירל</t>
  </si>
  <si>
    <t>קריסה גרין קרפט</t>
  </si>
  <si>
    <t>עדעד</t>
  </si>
  <si>
    <t>סה"כ נשתלו בנובמבר</t>
  </si>
  <si>
    <t>סה"כ נשתלו בנובמבר מייחורים</t>
  </si>
  <si>
    <t>התווספו נטו למלאי מפיצולים והעתקות</t>
  </si>
  <si>
    <t xml:space="preserve">סה"כ תוספת למלאי בנובמבר 17 </t>
  </si>
  <si>
    <t>דייטס דוגוני</t>
  </si>
  <si>
    <t>טקומית</t>
  </si>
  <si>
    <t>רוסליה</t>
  </si>
  <si>
    <t>מללויקה אדומה</t>
  </si>
  <si>
    <t>דק פרי כתום</t>
  </si>
  <si>
    <t>גזניה זוחלת ירוקה</t>
  </si>
  <si>
    <t>גזניה אשונה ירוקה</t>
  </si>
  <si>
    <t xml:space="preserve">בולבין </t>
  </si>
  <si>
    <t>גזניה אשונה (מכסיפה)</t>
  </si>
  <si>
    <t>המרקוליס</t>
  </si>
  <si>
    <t>כסיה</t>
  </si>
  <si>
    <t>לוונדר מנוצה</t>
  </si>
  <si>
    <t>לוונדר רפואי</t>
  </si>
  <si>
    <t>לונדר משונן</t>
  </si>
  <si>
    <t>לנטנה עדינה צהוב</t>
  </si>
  <si>
    <t>מיופורום לבן</t>
  </si>
  <si>
    <t xml:space="preserve">מרווה גרג </t>
  </si>
  <si>
    <t>עופרית הכף</t>
  </si>
  <si>
    <t>ערער גולד קוסט</t>
  </si>
  <si>
    <t>ערער מינט ג'וליפ</t>
  </si>
  <si>
    <t xml:space="preserve">פיטוספורום ננסי </t>
  </si>
  <si>
    <t>קיסוסים</t>
  </si>
  <si>
    <t>רוזמרין זוחל</t>
  </si>
  <si>
    <t>רוסליה אדומה</t>
  </si>
  <si>
    <t>סה"כ נשתלו בינואר</t>
  </si>
  <si>
    <t>סה"כ נשתלו בינואר מייחורים</t>
  </si>
  <si>
    <t xml:space="preserve">סה"כ תוספת למלאי בינואר 18 </t>
  </si>
  <si>
    <t>סה"כ</t>
  </si>
  <si>
    <t xml:space="preserve"> בתוספת העברות ופיצולים</t>
  </si>
  <si>
    <t>שתילת ייחורים קנויים</t>
  </si>
  <si>
    <t>ייחורים ופיצולים עצמיים</t>
  </si>
  <si>
    <t>העברות</t>
  </si>
  <si>
    <t xml:space="preserve">גודל 3 </t>
  </si>
  <si>
    <t>מ3 ל4</t>
  </si>
  <si>
    <t>מ4 ל7</t>
  </si>
  <si>
    <t>אוזן דוב ארקטוסיס</t>
  </si>
  <si>
    <t>אירוס גרמני</t>
  </si>
  <si>
    <t>איריסינה</t>
  </si>
  <si>
    <t>בזיל מג'יק</t>
  </si>
  <si>
    <t>בולבין כתום</t>
  </si>
  <si>
    <t>ביצן מגוון</t>
  </si>
  <si>
    <t>בלמקנדה</t>
  </si>
  <si>
    <t>בן עוזרר דלקורי</t>
  </si>
  <si>
    <t xml:space="preserve">גזניה אשונה </t>
  </si>
  <si>
    <t xml:space="preserve">גולנית </t>
  </si>
  <si>
    <t>דיאנלה ירוקה</t>
  </si>
  <si>
    <t>הדס טרנטיני מגוון</t>
  </si>
  <si>
    <t>המרקוליס אדום</t>
  </si>
  <si>
    <t>זוטא</t>
  </si>
  <si>
    <t>זוסיה טנפוליה</t>
  </si>
  <si>
    <t>זיף שיבולת שועלי</t>
  </si>
  <si>
    <t xml:space="preserve">טקומית אדום </t>
  </si>
  <si>
    <t>לוונדר גרוסו</t>
  </si>
  <si>
    <t>לוונדר קנרי</t>
  </si>
  <si>
    <t>לוונדר מדריד</t>
  </si>
  <si>
    <t>לימונית סינית</t>
  </si>
  <si>
    <t>מורן נטוי קירח</t>
  </si>
  <si>
    <t>מלאפורה</t>
  </si>
  <si>
    <t>מסיקנטוס</t>
  </si>
  <si>
    <t>מרוות ירושלים</t>
  </si>
  <si>
    <t>ננדינה תרבותית</t>
  </si>
  <si>
    <t>עופרית הכף לבנה</t>
  </si>
  <si>
    <t>קריסה גרנדיפולורה</t>
  </si>
  <si>
    <t>רוזמרין חיפה</t>
  </si>
  <si>
    <t>סהכ" הכל</t>
  </si>
  <si>
    <t>סהכ גודל 4</t>
  </si>
  <si>
    <t>סהכ גודל 3</t>
  </si>
  <si>
    <t>10.5.17</t>
  </si>
  <si>
    <t>גינון ברוך מודיעין</t>
  </si>
  <si>
    <t>גודל</t>
  </si>
  <si>
    <t>כמות</t>
  </si>
  <si>
    <t>15.5.17</t>
  </si>
  <si>
    <t>אילת - צביק עדה</t>
  </si>
  <si>
    <t>היביסקוס</t>
  </si>
  <si>
    <t>21.5.17</t>
  </si>
  <si>
    <t>קליסטמון ליטל ג'והן</t>
  </si>
  <si>
    <t>דורנטה תילאנדית</t>
  </si>
  <si>
    <t>לויקופילום סן חוזה</t>
  </si>
  <si>
    <t>15.6.17</t>
  </si>
  <si>
    <t>עפרית הכף</t>
  </si>
  <si>
    <t>אגפנטוס</t>
  </si>
  <si>
    <t>20.7.17</t>
  </si>
  <si>
    <t>פנטס</t>
  </si>
  <si>
    <t>טולבגיה</t>
  </si>
  <si>
    <t>24.7.17</t>
  </si>
  <si>
    <t>לא חוייב. לא שלנו</t>
  </si>
  <si>
    <t>לא משלנו</t>
  </si>
  <si>
    <t xml:space="preserve">בן עוזרר </t>
  </si>
  <si>
    <t>זקן נחש</t>
  </si>
  <si>
    <t>1.9.17</t>
  </si>
  <si>
    <t>סנטולינה ננסית</t>
  </si>
  <si>
    <t>דיאנלה</t>
  </si>
  <si>
    <t>רוזמרין זש</t>
  </si>
  <si>
    <t>רוזמרין בל</t>
  </si>
  <si>
    <t xml:space="preserve">רוזמרין זקוף </t>
  </si>
  <si>
    <t>ביצן ננסי</t>
  </si>
  <si>
    <t>הרדוף</t>
  </si>
  <si>
    <t>הדס טרנטיני</t>
  </si>
  <si>
    <t>בן עוזרר</t>
  </si>
  <si>
    <t>רוזמרין</t>
  </si>
  <si>
    <t>אספרגוס</t>
  </si>
  <si>
    <t xml:space="preserve">רוסליה </t>
  </si>
  <si>
    <t>אגאפנטוס</t>
  </si>
  <si>
    <t xml:space="preserve">דורנטה תאילנדית </t>
  </si>
  <si>
    <t>שפלרה מגונת</t>
  </si>
  <si>
    <t>אבליה 7</t>
  </si>
  <si>
    <t>פיטוספורום גבוה 7</t>
  </si>
  <si>
    <t>גולנית 7</t>
  </si>
  <si>
    <t>דורנטה תאי מגוונת 7</t>
  </si>
  <si>
    <t>ורבנה ארגנטינאית</t>
  </si>
  <si>
    <t>וינקה מג'ור</t>
  </si>
  <si>
    <t>נר הלילה הנאה</t>
  </si>
  <si>
    <t>נר הלילה החופי</t>
  </si>
  <si>
    <t>פיטנגו 25</t>
  </si>
  <si>
    <t>ברוש 7</t>
  </si>
  <si>
    <t xml:space="preserve">מוראה מכבדית </t>
  </si>
  <si>
    <t>מוראה מכבדית</t>
  </si>
  <si>
    <t>שם צמח</t>
  </si>
  <si>
    <t>מרווה גרג</t>
  </si>
  <si>
    <t>סנסיווריה ירוקה</t>
  </si>
  <si>
    <t>קיסוס מגוון</t>
  </si>
  <si>
    <t>קיסוס עלה קטן ירוק</t>
  </si>
  <si>
    <t>-</t>
  </si>
  <si>
    <t>זיף אדום</t>
  </si>
  <si>
    <t>וינקה מגור</t>
  </si>
  <si>
    <t>גפנית מחומשת</t>
  </si>
  <si>
    <t>כידונן גלילני</t>
  </si>
  <si>
    <t>מ3 ל7</t>
  </si>
  <si>
    <t>יערה יפנית 7</t>
  </si>
  <si>
    <t>פלפלון 7</t>
  </si>
  <si>
    <t>סנדוויליה</t>
  </si>
  <si>
    <t>דורנטה תאי</t>
  </si>
  <si>
    <t>אורנית לוהבת 7</t>
  </si>
  <si>
    <t>טברנה מונטה 7</t>
  </si>
  <si>
    <t>קסנדו 4</t>
  </si>
  <si>
    <t>קסנדו 7</t>
  </si>
  <si>
    <t>ורדים</t>
  </si>
  <si>
    <t>בת אביב גביענית</t>
  </si>
  <si>
    <t>ביגונביליה מיני תאי</t>
  </si>
  <si>
    <t>סהכ גודל 7</t>
  </si>
  <si>
    <t>מורן מבריק</t>
  </si>
  <si>
    <t>אנתריקון</t>
  </si>
  <si>
    <t>לגוסטרמיה הודית 7</t>
  </si>
  <si>
    <t>יסמין מסני 7</t>
  </si>
  <si>
    <t>אורגנו</t>
  </si>
  <si>
    <t xml:space="preserve">ביצן רובי </t>
  </si>
  <si>
    <t>רוסליה שבטבטית</t>
  </si>
  <si>
    <t>רוסליה ננסית</t>
  </si>
  <si>
    <t>פיקוס כינורי</t>
  </si>
  <si>
    <t>פיקוס גרין איילנד 25</t>
  </si>
  <si>
    <t>אספרגוס 25</t>
  </si>
  <si>
    <t>טברנה 25</t>
  </si>
  <si>
    <t xml:space="preserve">ביגונוויליה </t>
  </si>
  <si>
    <t xml:space="preserve">  בת אביב</t>
  </si>
  <si>
    <t>לענה לואיזיאנית</t>
  </si>
  <si>
    <t>צתרה ורודה</t>
  </si>
  <si>
    <t>זקנן שעיר</t>
  </si>
  <si>
    <t>אזוב</t>
  </si>
  <si>
    <t>ruxkhv xrnbyuzv</t>
  </si>
  <si>
    <t>רוסליה סרמנטוזה</t>
  </si>
  <si>
    <t xml:space="preserve">בוגונויליה תאי 7 </t>
  </si>
  <si>
    <t>בן עוזרר סנאו מיידן 7</t>
  </si>
  <si>
    <t>ברונפלסיה 7</t>
  </si>
  <si>
    <t xml:space="preserve">הביסקוס סורי </t>
  </si>
  <si>
    <t xml:space="preserve">בת אביב </t>
  </si>
  <si>
    <t xml:space="preserve">דיאנלה מגוון </t>
  </si>
  <si>
    <t>זקנן</t>
  </si>
  <si>
    <t>געדה כרתית</t>
  </si>
  <si>
    <t>אחירותם החורש</t>
  </si>
  <si>
    <t>סירה קוצנית</t>
  </si>
  <si>
    <t>2\2026</t>
  </si>
  <si>
    <t>מלאי שיחים משמר איילון   עודכן-  1.2.26</t>
  </si>
  <si>
    <t>פיטנגו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</si>
</sst>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1" x14ac:knownFonts="1">
    <font>
      <sz val="11"/>
      <color theme="1"/>
      <name val="Calibri"/>
      <family val="2"/>
      <charset val="177"/>
      <scheme val="minor"/>
    </font>
    <font>
      <sz val="14"/>
      <color theme="1"/>
      <name val="Calibri"/>
      <family val="2"/>
      <charset val="177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Arial"/>
      <family val="2"/>
      <charset val="177"/>
    </font>
    <font>
      <sz val="14"/>
      <name val="Calibri"/>
      <family val="2"/>
      <charset val="177"/>
      <scheme val="minor"/>
    </font>
    <font>
      <sz val="14"/>
      <name val="Arial"/>
      <family val="2"/>
      <charset val="177"/>
    </font>
    <font>
      <sz val="10"/>
      <name val="Arial"/>
      <family val="2"/>
    </font>
    <font>
      <sz val="14"/>
      <color rgb="FFFF0000"/>
      <name val="Calibri"/>
      <family val="2"/>
      <charset val="177"/>
      <scheme val="minor"/>
    </font>
    <font>
      <b/>
      <sz val="14"/>
      <color theme="1"/>
      <name val="Calibri"/>
      <family val="2"/>
      <charset val="177"/>
      <scheme val="minor"/>
    </font>
    <font>
      <b/>
      <u/>
      <sz val="14"/>
      <color theme="1"/>
      <name val="Calibri"/>
      <family val="2"/>
      <charset val="177"/>
      <scheme val="minor"/>
    </font>
    <font>
      <b/>
      <sz val="14"/>
      <color theme="1"/>
      <name val="Arial"/>
      <family val="2"/>
      <charset val="177"/>
    </font>
    <font>
      <b/>
      <u/>
      <sz val="14"/>
      <color theme="1"/>
      <name val="Arial"/>
      <family val="2"/>
      <charset val="177"/>
    </font>
    <font>
      <sz val="11"/>
      <color rgb="FF9C6500"/>
      <name val="Calibri"/>
      <family val="2"/>
      <charset val="177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name val="Arial"/>
      <family val="2"/>
    </font>
    <font>
      <u/>
      <sz val="14"/>
      <name val="Calibri"/>
      <family val="2"/>
      <scheme val="minor"/>
    </font>
    <font>
      <sz val="11"/>
      <color rgb="FF9C0006"/>
      <name val="Calibri"/>
      <family val="2"/>
      <charset val="177"/>
      <scheme val="minor"/>
    </font>
    <font>
      <b/>
      <sz val="11"/>
      <color rgb="FF9C0006"/>
      <name val="Calibri"/>
      <family val="2"/>
      <scheme val="minor"/>
    </font>
    <font>
      <b/>
      <sz val="16"/>
      <color rgb="FFFF0000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rgb="FFFA7D0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4"/>
      <color rgb="FF3F3F3F"/>
      <name val="Calibri"/>
      <family val="2"/>
      <charset val="177"/>
      <scheme val="minor"/>
    </font>
    <font>
      <sz val="8"/>
      <name val="Calibri"/>
      <family val="2"/>
      <charset val="177"/>
      <scheme val="minor"/>
    </font>
    <font>
      <sz val="18"/>
      <color theme="1"/>
      <name val="Calibri"/>
      <family val="2"/>
      <charset val="177"/>
      <scheme val="minor"/>
    </font>
    <font>
      <sz val="14"/>
      <color rgb="FF000000"/>
      <name val="Arial"/>
      <family val="2"/>
    </font>
    <font>
      <sz val="14"/>
      <name val="Arial"/>
      <family val="2"/>
    </font>
    <font>
      <b/>
      <u/>
      <sz val="14"/>
      <color theme="1"/>
      <name val="Arial"/>
      <family val="2"/>
    </font>
    <font>
      <sz val="11"/>
      <color rgb="FF006100"/>
      <name val="Calibri"/>
      <family val="2"/>
      <charset val="177"/>
      <scheme val="minor"/>
    </font>
    <font>
      <sz val="11"/>
      <color rgb="FF006100"/>
      <name val="Calibri"/>
      <family val="2"/>
      <scheme val="minor"/>
    </font>
    <font>
      <b/>
      <sz val="14"/>
      <color theme="0"/>
      <name val="Calibri"/>
      <family val="2"/>
      <charset val="177"/>
      <scheme val="minor"/>
    </font>
    <font>
      <sz val="14"/>
      <color theme="0"/>
      <name val="Calibri"/>
      <family val="2"/>
      <charset val="177"/>
      <scheme val="minor"/>
    </font>
    <font>
      <sz val="14"/>
      <color rgb="FF000000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b/>
      <u/>
      <sz val="14"/>
      <color rgb="FF000000"/>
      <name val="Arial"/>
      <family val="2"/>
    </font>
    <font>
      <sz val="14"/>
      <color theme="1"/>
      <name val="Arial"/>
      <family val="2"/>
    </font>
    <font>
      <b/>
      <u/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sz val="14"/>
      <color rgb="FF3F3F3F"/>
      <name val="Arial"/>
      <family val="2"/>
    </font>
    <font>
      <b/>
      <u/>
      <sz val="14"/>
      <color rgb="FF000000"/>
      <name val="Arial"/>
      <family val="2"/>
    </font>
    <font>
      <sz val="14"/>
      <color rgb="FF000000"/>
      <name val="Arial"/>
    </font>
    <font>
      <sz val="14"/>
      <color rgb="FF3F3F3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rgb="FF3F3F3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/>
      <top/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rgb="FF3F3F3F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164" fontId="3" fillId="0" borderId="0" applyFont="0" applyFill="0" applyBorder="0" applyAlignment="0" applyProtection="0"/>
    <xf numFmtId="0" fontId="8" fillId="0" borderId="0"/>
    <xf numFmtId="0" fontId="14" fillId="12" borderId="0" applyNumberFormat="0" applyBorder="0" applyAlignment="0" applyProtection="0"/>
    <xf numFmtId="0" fontId="3" fillId="13" borderId="18" applyNumberFormat="0" applyFont="0" applyAlignment="0" applyProtection="0"/>
    <xf numFmtId="0" fontId="19" fillId="16" borderId="0" applyNumberFormat="0" applyBorder="0" applyAlignment="0" applyProtection="0"/>
    <xf numFmtId="0" fontId="22" fillId="18" borderId="28" applyNumberFormat="0" applyAlignment="0" applyProtection="0"/>
    <xf numFmtId="0" fontId="23" fillId="19" borderId="29" applyNumberForma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6" fillId="18" borderId="34" applyNumberForma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4" fillId="26" borderId="0" applyNumberFormat="0" applyBorder="0" applyAlignment="0" applyProtection="0"/>
    <xf numFmtId="164" fontId="3" fillId="0" borderId="0" applyFont="0" applyFill="0" applyBorder="0" applyAlignment="0" applyProtection="0"/>
  </cellStyleXfs>
  <cellXfs count="285">
    <xf numFmtId="0" fontId="0" fillId="0" borderId="0" xfId="0"/>
    <xf numFmtId="0" fontId="4" fillId="0" borderId="0" xfId="0" applyFont="1"/>
    <xf numFmtId="14" fontId="0" fillId="0" borderId="0" xfId="0" applyNumberFormat="1"/>
    <xf numFmtId="14" fontId="0" fillId="13" borderId="18" xfId="4" applyNumberFormat="1" applyFont="1"/>
    <xf numFmtId="16" fontId="14" fillId="12" borderId="0" xfId="3" applyNumberFormat="1"/>
    <xf numFmtId="0" fontId="14" fillId="12" borderId="0" xfId="3"/>
    <xf numFmtId="14" fontId="14" fillId="12" borderId="0" xfId="3" applyNumberFormat="1"/>
    <xf numFmtId="165" fontId="1" fillId="0" borderId="0" xfId="1" applyNumberFormat="1" applyFont="1" applyAlignment="1">
      <alignment horizontal="center" vertical="center"/>
    </xf>
    <xf numFmtId="165" fontId="13" fillId="3" borderId="7" xfId="1" applyNumberFormat="1" applyFont="1" applyFill="1" applyBorder="1" applyAlignment="1">
      <alignment horizontal="center" vertical="center" wrapText="1"/>
    </xf>
    <xf numFmtId="165" fontId="1" fillId="0" borderId="0" xfId="1" applyNumberFormat="1" applyFont="1" applyAlignment="1">
      <alignment horizontal="center" vertical="center" wrapText="1"/>
    </xf>
    <xf numFmtId="165" fontId="5" fillId="4" borderId="1" xfId="1" applyNumberFormat="1" applyFont="1" applyFill="1" applyBorder="1" applyAlignment="1">
      <alignment horizontal="center" vertical="center"/>
    </xf>
    <xf numFmtId="165" fontId="5" fillId="4" borderId="5" xfId="1" applyNumberFormat="1" applyFont="1" applyFill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165" fontId="7" fillId="4" borderId="1" xfId="1" applyNumberFormat="1" applyFont="1" applyFill="1" applyBorder="1" applyAlignment="1">
      <alignment horizontal="center" vertical="center"/>
    </xf>
    <xf numFmtId="165" fontId="5" fillId="4" borderId="2" xfId="1" applyNumberFormat="1" applyFont="1" applyFill="1" applyBorder="1" applyAlignment="1">
      <alignment horizontal="center" vertical="center"/>
    </xf>
    <xf numFmtId="165" fontId="1" fillId="4" borderId="1" xfId="1" applyNumberFormat="1" applyFont="1" applyFill="1" applyBorder="1" applyAlignment="1">
      <alignment horizontal="center" vertical="center"/>
    </xf>
    <xf numFmtId="165" fontId="10" fillId="8" borderId="7" xfId="1" applyNumberFormat="1" applyFont="1" applyFill="1" applyBorder="1" applyAlignment="1">
      <alignment horizontal="center" vertical="center"/>
    </xf>
    <xf numFmtId="165" fontId="5" fillId="4" borderId="6" xfId="1" applyNumberFormat="1" applyFont="1" applyFill="1" applyBorder="1" applyAlignment="1">
      <alignment horizontal="center" vertical="center"/>
    </xf>
    <xf numFmtId="165" fontId="16" fillId="0" borderId="1" xfId="1" applyNumberFormat="1" applyFont="1" applyBorder="1" applyAlignment="1">
      <alignment horizontal="center" vertical="center"/>
    </xf>
    <xf numFmtId="165" fontId="16" fillId="0" borderId="0" xfId="1" applyNumberFormat="1" applyFont="1" applyBorder="1" applyAlignment="1">
      <alignment horizontal="center" vertical="center"/>
    </xf>
    <xf numFmtId="165" fontId="18" fillId="5" borderId="1" xfId="1" applyNumberFormat="1" applyFont="1" applyFill="1" applyBorder="1" applyAlignment="1">
      <alignment horizontal="center" vertical="center"/>
    </xf>
    <xf numFmtId="165" fontId="17" fillId="4" borderId="1" xfId="1" applyNumberFormat="1" applyFont="1" applyFill="1" applyBorder="1" applyAlignment="1">
      <alignment horizontal="center" vertical="center"/>
    </xf>
    <xf numFmtId="165" fontId="17" fillId="9" borderId="1" xfId="1" applyNumberFormat="1" applyFont="1" applyFill="1" applyBorder="1" applyAlignment="1">
      <alignment horizontal="center" vertical="center"/>
    </xf>
    <xf numFmtId="165" fontId="17" fillId="4" borderId="1" xfId="1" applyNumberFormat="1" applyFont="1" applyFill="1" applyBorder="1" applyAlignment="1">
      <alignment horizontal="center" vertical="center" wrapText="1"/>
    </xf>
    <xf numFmtId="165" fontId="16" fillId="2" borderId="1" xfId="1" applyNumberFormat="1" applyFont="1" applyFill="1" applyBorder="1" applyAlignment="1">
      <alignment horizontal="center" vertical="center"/>
    </xf>
    <xf numFmtId="165" fontId="16" fillId="9" borderId="1" xfId="1" applyNumberFormat="1" applyFont="1" applyFill="1" applyBorder="1" applyAlignment="1">
      <alignment horizontal="center" vertical="center"/>
    </xf>
    <xf numFmtId="165" fontId="17" fillId="11" borderId="1" xfId="1" applyNumberFormat="1" applyFont="1" applyFill="1" applyBorder="1" applyAlignment="1">
      <alignment horizontal="center" vertical="center"/>
    </xf>
    <xf numFmtId="165" fontId="16" fillId="11" borderId="1" xfId="1" applyNumberFormat="1" applyFont="1" applyFill="1" applyBorder="1" applyAlignment="1">
      <alignment horizontal="center" vertical="center"/>
    </xf>
    <xf numFmtId="165" fontId="17" fillId="14" borderId="1" xfId="1" applyNumberFormat="1" applyFont="1" applyFill="1" applyBorder="1" applyAlignment="1">
      <alignment horizontal="center" vertical="center"/>
    </xf>
    <xf numFmtId="165" fontId="17" fillId="15" borderId="1" xfId="1" applyNumberFormat="1" applyFont="1" applyFill="1" applyBorder="1" applyAlignment="1">
      <alignment horizontal="center" vertical="center"/>
    </xf>
    <xf numFmtId="165" fontId="17" fillId="14" borderId="1" xfId="1" applyNumberFormat="1" applyFont="1" applyFill="1" applyBorder="1" applyAlignment="1">
      <alignment horizontal="center" vertical="center" wrapText="1"/>
    </xf>
    <xf numFmtId="165" fontId="16" fillId="9" borderId="0" xfId="1" applyNumberFormat="1" applyFont="1" applyFill="1" applyAlignment="1">
      <alignment horizontal="center" vertical="center"/>
    </xf>
    <xf numFmtId="165" fontId="16" fillId="6" borderId="0" xfId="1" applyNumberFormat="1" applyFont="1" applyFill="1" applyBorder="1" applyAlignment="1">
      <alignment horizontal="center" vertical="center"/>
    </xf>
    <xf numFmtId="165" fontId="17" fillId="9" borderId="6" xfId="1" applyNumberFormat="1" applyFont="1" applyFill="1" applyBorder="1" applyAlignment="1">
      <alignment horizontal="center" vertical="center"/>
    </xf>
    <xf numFmtId="165" fontId="17" fillId="6" borderId="5" xfId="1" applyNumberFormat="1" applyFont="1" applyFill="1" applyBorder="1" applyAlignment="1">
      <alignment horizontal="center" vertical="center"/>
    </xf>
    <xf numFmtId="165" fontId="17" fillId="6" borderId="5" xfId="1" applyNumberFormat="1" applyFont="1" applyFill="1" applyBorder="1" applyAlignment="1">
      <alignment horizontal="center" vertical="center" wrapText="1"/>
    </xf>
    <xf numFmtId="14" fontId="16" fillId="0" borderId="1" xfId="1" applyNumberFormat="1" applyFont="1" applyBorder="1" applyAlignment="1">
      <alignment horizontal="center" vertical="center"/>
    </xf>
    <xf numFmtId="165" fontId="19" fillId="16" borderId="11" xfId="1" applyNumberFormat="1" applyFont="1" applyFill="1" applyBorder="1" applyAlignment="1">
      <alignment horizontal="center" vertical="center"/>
    </xf>
    <xf numFmtId="165" fontId="19" fillId="16" borderId="15" xfId="1" applyNumberFormat="1" applyFont="1" applyFill="1" applyBorder="1" applyAlignment="1">
      <alignment horizontal="center" vertical="center"/>
    </xf>
    <xf numFmtId="165" fontId="19" fillId="16" borderId="12" xfId="1" applyNumberFormat="1" applyFont="1" applyFill="1" applyBorder="1" applyAlignment="1">
      <alignment horizontal="center" vertical="center"/>
    </xf>
    <xf numFmtId="165" fontId="16" fillId="0" borderId="13" xfId="1" applyNumberFormat="1" applyFont="1" applyBorder="1" applyAlignment="1">
      <alignment horizontal="center" vertical="center"/>
    </xf>
    <xf numFmtId="165" fontId="16" fillId="0" borderId="16" xfId="1" applyNumberFormat="1" applyFont="1" applyBorder="1" applyAlignment="1">
      <alignment horizontal="center" vertical="center"/>
    </xf>
    <xf numFmtId="165" fontId="19" fillId="16" borderId="19" xfId="5" applyNumberFormat="1" applyBorder="1" applyAlignment="1">
      <alignment horizontal="center" vertical="center"/>
    </xf>
    <xf numFmtId="17" fontId="14" fillId="12" borderId="0" xfId="3" applyNumberFormat="1"/>
    <xf numFmtId="17" fontId="0" fillId="2" borderId="0" xfId="0" applyNumberFormat="1" applyFill="1"/>
    <xf numFmtId="165" fontId="1" fillId="0" borderId="0" xfId="1" applyNumberFormat="1" applyFont="1" applyAlignment="1">
      <alignment vertical="center"/>
    </xf>
    <xf numFmtId="165" fontId="11" fillId="5" borderId="7" xfId="1" applyNumberFormat="1" applyFont="1" applyFill="1" applyBorder="1" applyAlignment="1">
      <alignment vertical="center"/>
    </xf>
    <xf numFmtId="165" fontId="12" fillId="3" borderId="8" xfId="1" applyNumberFormat="1" applyFont="1" applyFill="1" applyBorder="1" applyAlignment="1">
      <alignment vertical="center" wrapText="1"/>
    </xf>
    <xf numFmtId="165" fontId="19" fillId="16" borderId="5" xfId="1" applyNumberFormat="1" applyFont="1" applyFill="1" applyBorder="1" applyAlignment="1">
      <alignment horizontal="center" vertical="center"/>
    </xf>
    <xf numFmtId="165" fontId="1" fillId="4" borderId="2" xfId="1" applyNumberFormat="1" applyFont="1" applyFill="1" applyBorder="1" applyAlignment="1">
      <alignment horizontal="center" vertical="center"/>
    </xf>
    <xf numFmtId="165" fontId="5" fillId="4" borderId="20" xfId="1" applyNumberFormat="1" applyFont="1" applyFill="1" applyBorder="1" applyAlignment="1">
      <alignment horizontal="center" vertical="center"/>
    </xf>
    <xf numFmtId="165" fontId="5" fillId="4" borderId="10" xfId="1" applyNumberFormat="1" applyFont="1" applyFill="1" applyBorder="1" applyAlignment="1">
      <alignment horizontal="right" vertical="center"/>
    </xf>
    <xf numFmtId="165" fontId="5" fillId="4" borderId="3" xfId="1" applyNumberFormat="1" applyFont="1" applyFill="1" applyBorder="1" applyAlignment="1">
      <alignment horizontal="right" vertical="center"/>
    </xf>
    <xf numFmtId="165" fontId="1" fillId="4" borderId="3" xfId="1" applyNumberFormat="1" applyFont="1" applyFill="1" applyBorder="1" applyAlignment="1">
      <alignment horizontal="right" vertical="center"/>
    </xf>
    <xf numFmtId="165" fontId="7" fillId="4" borderId="3" xfId="1" applyNumberFormat="1" applyFont="1" applyFill="1" applyBorder="1" applyAlignment="1">
      <alignment horizontal="right" vertical="center"/>
    </xf>
    <xf numFmtId="165" fontId="5" fillId="4" borderId="9" xfId="1" applyNumberFormat="1" applyFont="1" applyFill="1" applyBorder="1" applyAlignment="1">
      <alignment horizontal="right" vertical="center"/>
    </xf>
    <xf numFmtId="165" fontId="5" fillId="4" borderId="22" xfId="1" applyNumberFormat="1" applyFont="1" applyFill="1" applyBorder="1" applyAlignment="1">
      <alignment vertical="center"/>
    </xf>
    <xf numFmtId="165" fontId="5" fillId="4" borderId="22" xfId="1" applyNumberFormat="1" applyFont="1" applyFill="1" applyBorder="1" applyAlignment="1">
      <alignment horizontal="center" vertical="center"/>
    </xf>
    <xf numFmtId="165" fontId="5" fillId="4" borderId="23" xfId="1" applyNumberFormat="1" applyFont="1" applyFill="1" applyBorder="1" applyAlignment="1">
      <alignment vertical="center"/>
    </xf>
    <xf numFmtId="165" fontId="16" fillId="4" borderId="0" xfId="1" applyNumberFormat="1" applyFont="1" applyFill="1" applyBorder="1" applyAlignment="1">
      <alignment horizontal="center" vertical="center"/>
    </xf>
    <xf numFmtId="165" fontId="6" fillId="2" borderId="22" xfId="1" applyNumberFormat="1" applyFont="1" applyFill="1" applyBorder="1" applyAlignment="1">
      <alignment horizontal="center" vertical="center"/>
    </xf>
    <xf numFmtId="165" fontId="1" fillId="2" borderId="25" xfId="1" applyNumberFormat="1" applyFont="1" applyFill="1" applyBorder="1" applyAlignment="1">
      <alignment horizontal="center" vertical="center"/>
    </xf>
    <xf numFmtId="165" fontId="1" fillId="2" borderId="22" xfId="1" applyNumberFormat="1" applyFont="1" applyFill="1" applyBorder="1" applyAlignment="1">
      <alignment horizontal="center" vertical="center"/>
    </xf>
    <xf numFmtId="165" fontId="6" fillId="2" borderId="25" xfId="1" applyNumberFormat="1" applyFont="1" applyFill="1" applyBorder="1" applyAlignment="1">
      <alignment horizontal="center" vertical="center"/>
    </xf>
    <xf numFmtId="165" fontId="1" fillId="2" borderId="22" xfId="1" applyNumberFormat="1" applyFont="1" applyFill="1" applyBorder="1" applyAlignment="1">
      <alignment vertical="center"/>
    </xf>
    <xf numFmtId="165" fontId="1" fillId="2" borderId="22" xfId="1" applyNumberFormat="1" applyFont="1" applyFill="1" applyBorder="1" applyAlignment="1">
      <alignment horizontal="center"/>
    </xf>
    <xf numFmtId="165" fontId="1" fillId="2" borderId="27" xfId="1" applyNumberFormat="1" applyFont="1" applyFill="1" applyBorder="1" applyAlignment="1">
      <alignment vertical="center"/>
    </xf>
    <xf numFmtId="165" fontId="6" fillId="2" borderId="22" xfId="1" applyNumberFormat="1" applyFont="1" applyFill="1" applyBorder="1" applyAlignment="1">
      <alignment vertical="center"/>
    </xf>
    <xf numFmtId="0" fontId="0" fillId="17" borderId="0" xfId="0" applyFill="1"/>
    <xf numFmtId="165" fontId="5" fillId="4" borderId="0" xfId="1" applyNumberFormat="1" applyFont="1" applyFill="1" applyBorder="1" applyAlignment="1">
      <alignment horizontal="right" vertical="center"/>
    </xf>
    <xf numFmtId="0" fontId="0" fillId="0" borderId="3" xfId="0" applyBorder="1"/>
    <xf numFmtId="17" fontId="0" fillId="0" borderId="0" xfId="0" applyNumberFormat="1"/>
    <xf numFmtId="165" fontId="5" fillId="4" borderId="2" xfId="1" applyNumberFormat="1" applyFont="1" applyFill="1" applyBorder="1" applyAlignment="1">
      <alignment horizontal="right" vertical="center"/>
    </xf>
    <xf numFmtId="165" fontId="17" fillId="23" borderId="1" xfId="1" applyNumberFormat="1" applyFont="1" applyFill="1" applyBorder="1" applyAlignment="1">
      <alignment horizontal="center" vertical="center"/>
    </xf>
    <xf numFmtId="165" fontId="16" fillId="23" borderId="1" xfId="1" applyNumberFormat="1" applyFont="1" applyFill="1" applyBorder="1" applyAlignment="1">
      <alignment horizontal="center" vertical="center"/>
    </xf>
    <xf numFmtId="165" fontId="22" fillId="23" borderId="28" xfId="6" applyNumberFormat="1" applyFill="1" applyAlignment="1">
      <alignment horizontal="center" vertical="center"/>
    </xf>
    <xf numFmtId="165" fontId="17" fillId="23" borderId="3" xfId="1" applyNumberFormat="1" applyFont="1" applyFill="1" applyBorder="1" applyAlignment="1">
      <alignment horizontal="center" vertical="center"/>
    </xf>
    <xf numFmtId="165" fontId="16" fillId="23" borderId="0" xfId="1" applyNumberFormat="1" applyFont="1" applyFill="1" applyBorder="1" applyAlignment="1">
      <alignment horizontal="center" vertical="center"/>
    </xf>
    <xf numFmtId="165" fontId="24" fillId="23" borderId="3" xfId="1" applyNumberFormat="1" applyFont="1" applyFill="1" applyBorder="1" applyAlignment="1">
      <alignment horizontal="center" vertical="center"/>
    </xf>
    <xf numFmtId="165" fontId="24" fillId="23" borderId="1" xfId="1" applyNumberFormat="1" applyFont="1" applyFill="1" applyBorder="1" applyAlignment="1">
      <alignment horizontal="center" vertical="center"/>
    </xf>
    <xf numFmtId="165" fontId="17" fillId="23" borderId="21" xfId="1" applyNumberFormat="1" applyFont="1" applyFill="1" applyBorder="1" applyAlignment="1">
      <alignment horizontal="center" vertical="center"/>
    </xf>
    <xf numFmtId="165" fontId="17" fillId="23" borderId="6" xfId="1" applyNumberFormat="1" applyFont="1" applyFill="1" applyBorder="1" applyAlignment="1">
      <alignment horizontal="center" vertical="center"/>
    </xf>
    <xf numFmtId="165" fontId="22" fillId="24" borderId="28" xfId="6" applyNumberFormat="1" applyFill="1" applyAlignment="1">
      <alignment horizontal="center" vertical="center"/>
    </xf>
    <xf numFmtId="165" fontId="16" fillId="24" borderId="1" xfId="1" applyNumberFormat="1" applyFont="1" applyFill="1" applyBorder="1" applyAlignment="1">
      <alignment horizontal="center" vertical="center"/>
    </xf>
    <xf numFmtId="165" fontId="17" fillId="24" borderId="1" xfId="1" applyNumberFormat="1" applyFont="1" applyFill="1" applyBorder="1" applyAlignment="1">
      <alignment horizontal="center" vertical="center"/>
    </xf>
    <xf numFmtId="165" fontId="24" fillId="24" borderId="1" xfId="1" applyNumberFormat="1" applyFont="1" applyFill="1" applyBorder="1" applyAlignment="1">
      <alignment horizontal="center" vertical="center"/>
    </xf>
    <xf numFmtId="165" fontId="17" fillId="24" borderId="6" xfId="1" applyNumberFormat="1" applyFont="1" applyFill="1" applyBorder="1" applyAlignment="1">
      <alignment horizontal="center" vertical="center"/>
    </xf>
    <xf numFmtId="165" fontId="15" fillId="0" borderId="0" xfId="1" applyNumberFormat="1" applyFont="1" applyBorder="1" applyAlignment="1">
      <alignment horizontal="center" vertical="center"/>
    </xf>
    <xf numFmtId="165" fontId="2" fillId="21" borderId="29" xfId="7" applyNumberFormat="1" applyFont="1" applyFill="1" applyAlignment="1">
      <alignment horizontal="center" vertical="center"/>
    </xf>
    <xf numFmtId="165" fontId="15" fillId="22" borderId="1" xfId="1" applyNumberFormat="1" applyFont="1" applyFill="1" applyBorder="1" applyAlignment="1">
      <alignment horizontal="center" vertical="center"/>
    </xf>
    <xf numFmtId="165" fontId="17" fillId="25" borderId="3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165" fontId="19" fillId="16" borderId="0" xfId="5" applyNumberFormat="1" applyBorder="1" applyAlignment="1">
      <alignment horizontal="center" vertical="center"/>
    </xf>
    <xf numFmtId="165" fontId="19" fillId="16" borderId="33" xfId="5" applyNumberFormat="1" applyBorder="1" applyAlignment="1">
      <alignment horizontal="center" vertical="center"/>
    </xf>
    <xf numFmtId="165" fontId="25" fillId="24" borderId="1" xfId="1" applyNumberFormat="1" applyFont="1" applyFill="1" applyBorder="1" applyAlignment="1">
      <alignment horizontal="center" vertical="center"/>
    </xf>
    <xf numFmtId="165" fontId="17" fillId="25" borderId="1" xfId="1" applyNumberFormat="1" applyFont="1" applyFill="1" applyBorder="1" applyAlignment="1">
      <alignment horizontal="center" vertical="center"/>
    </xf>
    <xf numFmtId="165" fontId="1" fillId="2" borderId="25" xfId="1" applyNumberFormat="1" applyFont="1" applyFill="1" applyBorder="1" applyAlignment="1">
      <alignment vertical="center"/>
    </xf>
    <xf numFmtId="165" fontId="16" fillId="15" borderId="0" xfId="1" applyNumberFormat="1" applyFont="1" applyFill="1" applyBorder="1" applyAlignment="1">
      <alignment horizontal="center" vertical="center"/>
    </xf>
    <xf numFmtId="165" fontId="26" fillId="18" borderId="34" xfId="14" applyNumberFormat="1" applyAlignment="1">
      <alignment horizontal="center" vertical="center"/>
    </xf>
    <xf numFmtId="165" fontId="27" fillId="18" borderId="34" xfId="14" applyNumberFormat="1" applyFont="1" applyAlignment="1">
      <alignment horizontal="center" vertical="center"/>
    </xf>
    <xf numFmtId="165" fontId="1" fillId="2" borderId="26" xfId="1" applyNumberFormat="1" applyFont="1" applyFill="1" applyBorder="1" applyAlignment="1">
      <alignment vertical="center"/>
    </xf>
    <xf numFmtId="165" fontId="6" fillId="2" borderId="23" xfId="1" applyNumberFormat="1" applyFont="1" applyFill="1" applyBorder="1" applyAlignment="1">
      <alignment horizontal="center" vertical="center"/>
    </xf>
    <xf numFmtId="165" fontId="1" fillId="2" borderId="23" xfId="1" applyNumberFormat="1" applyFont="1" applyFill="1" applyBorder="1" applyAlignment="1">
      <alignment vertical="center"/>
    </xf>
    <xf numFmtId="165" fontId="28" fillId="24" borderId="28" xfId="6" applyNumberFormat="1" applyFont="1" applyFill="1" applyAlignment="1">
      <alignment horizontal="center" vertical="center"/>
    </xf>
    <xf numFmtId="0" fontId="0" fillId="7" borderId="37" xfId="0" applyFill="1" applyBorder="1"/>
    <xf numFmtId="0" fontId="1" fillId="0" borderId="0" xfId="0" applyFont="1" applyAlignment="1">
      <alignment horizontal="center" vertical="top"/>
    </xf>
    <xf numFmtId="0" fontId="30" fillId="0" borderId="0" xfId="0" applyFont="1"/>
    <xf numFmtId="165" fontId="31" fillId="4" borderId="9" xfId="1" applyNumberFormat="1" applyFont="1" applyFill="1" applyBorder="1" applyAlignment="1">
      <alignment horizontal="right" vertical="center"/>
    </xf>
    <xf numFmtId="165" fontId="31" fillId="4" borderId="22" xfId="1" applyNumberFormat="1" applyFont="1" applyFill="1" applyBorder="1" applyAlignment="1">
      <alignment vertical="center"/>
    </xf>
    <xf numFmtId="165" fontId="31" fillId="0" borderId="0" xfId="1" applyNumberFormat="1" applyFont="1" applyAlignment="1">
      <alignment horizontal="center" vertical="center"/>
    </xf>
    <xf numFmtId="165" fontId="33" fillId="3" borderId="8" xfId="1" applyNumberFormat="1" applyFont="1" applyFill="1" applyBorder="1" applyAlignment="1">
      <alignment horizontal="center" vertical="center" wrapText="1"/>
    </xf>
    <xf numFmtId="165" fontId="31" fillId="8" borderId="7" xfId="1" applyNumberFormat="1" applyFont="1" applyFill="1" applyBorder="1" applyAlignment="1">
      <alignment horizontal="center" vertical="center"/>
    </xf>
    <xf numFmtId="165" fontId="31" fillId="4" borderId="22" xfId="1" applyNumberFormat="1" applyFont="1" applyFill="1" applyBorder="1" applyAlignment="1">
      <alignment horizontal="center" vertical="center"/>
    </xf>
    <xf numFmtId="165" fontId="31" fillId="2" borderId="22" xfId="1" applyNumberFormat="1" applyFont="1" applyFill="1" applyBorder="1" applyAlignment="1">
      <alignment vertical="center"/>
    </xf>
    <xf numFmtId="165" fontId="1" fillId="2" borderId="22" xfId="1" applyNumberFormat="1" applyFont="1" applyFill="1" applyBorder="1"/>
    <xf numFmtId="165" fontId="1" fillId="6" borderId="0" xfId="1" applyNumberFormat="1" applyFont="1" applyFill="1" applyAlignment="1">
      <alignment horizontal="center" vertical="center"/>
    </xf>
    <xf numFmtId="165" fontId="10" fillId="0" borderId="0" xfId="1" applyNumberFormat="1" applyFont="1" applyAlignment="1">
      <alignment horizontal="center" vertical="center"/>
    </xf>
    <xf numFmtId="165" fontId="1" fillId="7" borderId="1" xfId="1" applyNumberFormat="1" applyFont="1" applyFill="1" applyBorder="1" applyAlignment="1">
      <alignment horizontal="center" vertical="center"/>
    </xf>
    <xf numFmtId="165" fontId="36" fillId="2" borderId="41" xfId="1" applyNumberFormat="1" applyFont="1" applyFill="1" applyBorder="1" applyAlignment="1">
      <alignment horizontal="center" vertical="center"/>
    </xf>
    <xf numFmtId="165" fontId="6" fillId="27" borderId="1" xfId="1" applyNumberFormat="1" applyFont="1" applyFill="1" applyBorder="1" applyAlignment="1">
      <alignment horizontal="center" vertical="center"/>
    </xf>
    <xf numFmtId="165" fontId="1" fillId="27" borderId="1" xfId="1" applyNumberFormat="1" applyFont="1" applyFill="1" applyBorder="1" applyAlignment="1">
      <alignment horizontal="center" vertical="center"/>
    </xf>
    <xf numFmtId="165" fontId="1" fillId="27" borderId="42" xfId="1" applyNumberFormat="1" applyFont="1" applyFill="1" applyBorder="1" applyAlignment="1">
      <alignment horizontal="center" vertical="center"/>
    </xf>
    <xf numFmtId="165" fontId="37" fillId="7" borderId="0" xfId="1" applyNumberFormat="1" applyFont="1" applyFill="1" applyAlignment="1">
      <alignment horizontal="center" vertical="center"/>
    </xf>
    <xf numFmtId="165" fontId="6" fillId="0" borderId="3" xfId="1" applyNumberFormat="1" applyFont="1" applyBorder="1" applyAlignment="1">
      <alignment horizontal="center" vertical="center"/>
    </xf>
    <xf numFmtId="165" fontId="1" fillId="7" borderId="3" xfId="1" applyNumberFormat="1" applyFont="1" applyFill="1" applyBorder="1" applyAlignment="1">
      <alignment horizontal="center" vertical="center"/>
    </xf>
    <xf numFmtId="165" fontId="6" fillId="0" borderId="43" xfId="1" applyNumberFormat="1" applyFont="1" applyBorder="1" applyAlignment="1">
      <alignment horizontal="center" vertical="center"/>
    </xf>
    <xf numFmtId="165" fontId="1" fillId="7" borderId="2" xfId="1" applyNumberFormat="1" applyFont="1" applyFill="1" applyBorder="1" applyAlignment="1">
      <alignment horizontal="center" vertical="center"/>
    </xf>
    <xf numFmtId="165" fontId="1" fillId="7" borderId="0" xfId="1" applyNumberFormat="1" applyFont="1" applyFill="1" applyAlignment="1">
      <alignment horizontal="center" vertical="center"/>
    </xf>
    <xf numFmtId="165" fontId="6" fillId="7" borderId="0" xfId="1" applyNumberFormat="1" applyFont="1" applyFill="1" applyAlignment="1">
      <alignment horizontal="center" vertical="center"/>
    </xf>
    <xf numFmtId="165" fontId="6" fillId="7" borderId="9" xfId="1" applyNumberFormat="1" applyFont="1" applyFill="1" applyBorder="1" applyAlignment="1">
      <alignment horizontal="center" vertical="center"/>
    </xf>
    <xf numFmtId="165" fontId="6" fillId="28" borderId="1" xfId="1" applyNumberFormat="1" applyFont="1" applyFill="1" applyBorder="1" applyAlignment="1">
      <alignment horizontal="center" vertical="center"/>
    </xf>
    <xf numFmtId="165" fontId="6" fillId="0" borderId="2" xfId="1" applyNumberFormat="1" applyFont="1" applyBorder="1" applyAlignment="1">
      <alignment horizontal="center" vertical="center"/>
    </xf>
    <xf numFmtId="165" fontId="6" fillId="7" borderId="2" xfId="1" applyNumberFormat="1" applyFont="1" applyFill="1" applyBorder="1" applyAlignment="1">
      <alignment horizontal="center" vertical="center"/>
    </xf>
    <xf numFmtId="165" fontId="6" fillId="7" borderId="3" xfId="1" applyNumberFormat="1" applyFont="1" applyFill="1" applyBorder="1" applyAlignment="1">
      <alignment horizontal="center" vertical="center"/>
    </xf>
    <xf numFmtId="165" fontId="1" fillId="29" borderId="1" xfId="1" applyNumberFormat="1" applyFont="1" applyFill="1" applyBorder="1" applyAlignment="1">
      <alignment horizontal="center" vertical="center"/>
    </xf>
    <xf numFmtId="165" fontId="1" fillId="30" borderId="1" xfId="1" applyNumberFormat="1" applyFont="1" applyFill="1" applyBorder="1" applyAlignment="1">
      <alignment horizontal="center" vertical="center"/>
    </xf>
    <xf numFmtId="165" fontId="1" fillId="31" borderId="42" xfId="1" applyNumberFormat="1" applyFont="1" applyFill="1" applyBorder="1" applyAlignment="1">
      <alignment horizontal="center" vertical="center"/>
    </xf>
    <xf numFmtId="165" fontId="1" fillId="0" borderId="2" xfId="1" applyNumberFormat="1" applyFont="1" applyBorder="1" applyAlignment="1">
      <alignment horizontal="center" vertical="center"/>
    </xf>
    <xf numFmtId="165" fontId="1" fillId="0" borderId="3" xfId="1" applyNumberFormat="1" applyFont="1" applyBorder="1" applyAlignment="1">
      <alignment horizontal="center" vertical="center"/>
    </xf>
    <xf numFmtId="165" fontId="10" fillId="29" borderId="3" xfId="1" applyNumberFormat="1" applyFont="1" applyFill="1" applyBorder="1" applyAlignment="1">
      <alignment horizontal="center" vertical="center" wrapText="1"/>
    </xf>
    <xf numFmtId="165" fontId="10" fillId="30" borderId="7" xfId="1" applyNumberFormat="1" applyFont="1" applyFill="1" applyBorder="1" applyAlignment="1">
      <alignment horizontal="center" vertical="center" wrapText="1"/>
    </xf>
    <xf numFmtId="165" fontId="11" fillId="33" borderId="4" xfId="1" applyNumberFormat="1" applyFont="1" applyFill="1" applyBorder="1" applyAlignment="1">
      <alignment horizontal="center" vertical="center" wrapText="1"/>
    </xf>
    <xf numFmtId="165" fontId="11" fillId="3" borderId="4" xfId="1" applyNumberFormat="1" applyFont="1" applyFill="1" applyBorder="1" applyAlignment="1">
      <alignment horizontal="center" vertical="center" wrapText="1"/>
    </xf>
    <xf numFmtId="165" fontId="1" fillId="34" borderId="0" xfId="1" applyNumberFormat="1" applyFont="1" applyFill="1" applyAlignment="1">
      <alignment horizontal="center" vertical="center"/>
    </xf>
    <xf numFmtId="165" fontId="21" fillId="3" borderId="44" xfId="1" applyNumberFormat="1" applyFont="1" applyFill="1" applyBorder="1" applyAlignment="1">
      <alignment vertical="center"/>
    </xf>
    <xf numFmtId="165" fontId="1" fillId="0" borderId="21" xfId="1" applyNumberFormat="1" applyFont="1" applyBorder="1" applyAlignment="1">
      <alignment vertical="center"/>
    </xf>
    <xf numFmtId="165" fontId="1" fillId="0" borderId="2" xfId="1" applyNumberFormat="1" applyFont="1" applyBorder="1" applyAlignment="1">
      <alignment vertical="center"/>
    </xf>
    <xf numFmtId="165" fontId="1" fillId="0" borderId="3" xfId="1" applyNumberFormat="1" applyFont="1" applyBorder="1" applyAlignment="1">
      <alignment vertical="center"/>
    </xf>
    <xf numFmtId="165" fontId="1" fillId="7" borderId="2" xfId="1" applyNumberFormat="1" applyFont="1" applyFill="1" applyBorder="1" applyAlignment="1">
      <alignment vertical="center"/>
    </xf>
    <xf numFmtId="165" fontId="1" fillId="7" borderId="3" xfId="1" applyNumberFormat="1" applyFont="1" applyFill="1" applyBorder="1" applyAlignment="1">
      <alignment vertical="center"/>
    </xf>
    <xf numFmtId="165" fontId="1" fillId="30" borderId="5" xfId="1" applyNumberFormat="1" applyFont="1" applyFill="1" applyBorder="1" applyAlignment="1">
      <alignment horizontal="center" vertical="center"/>
    </xf>
    <xf numFmtId="165" fontId="1" fillId="2" borderId="45" xfId="1" applyNumberFormat="1" applyFont="1" applyFill="1" applyBorder="1" applyAlignment="1">
      <alignment vertical="center"/>
    </xf>
    <xf numFmtId="165" fontId="31" fillId="4" borderId="45" xfId="1" applyNumberFormat="1" applyFont="1" applyFill="1" applyBorder="1" applyAlignment="1">
      <alignment vertical="center"/>
    </xf>
    <xf numFmtId="165" fontId="17" fillId="24" borderId="1" xfId="1" applyNumberFormat="1" applyFont="1" applyFill="1" applyBorder="1" applyAlignment="1">
      <alignment horizontal="center" vertical="center" readingOrder="1"/>
    </xf>
    <xf numFmtId="165" fontId="6" fillId="2" borderId="22" xfId="1" applyNumberFormat="1" applyFont="1" applyFill="1" applyBorder="1" applyAlignment="1">
      <alignment horizontal="center"/>
    </xf>
    <xf numFmtId="165" fontId="5" fillId="4" borderId="26" xfId="1" applyNumberFormat="1" applyFont="1" applyFill="1" applyBorder="1" applyAlignment="1">
      <alignment horizontal="center" vertical="center"/>
    </xf>
    <xf numFmtId="165" fontId="38" fillId="4" borderId="9" xfId="1" applyNumberFormat="1" applyFont="1" applyFill="1" applyBorder="1" applyAlignment="1">
      <alignment horizontal="right" vertical="center"/>
    </xf>
    <xf numFmtId="0" fontId="35" fillId="26" borderId="0" xfId="17" applyFont="1"/>
    <xf numFmtId="165" fontId="1" fillId="35" borderId="22" xfId="1" applyNumberFormat="1" applyFont="1" applyFill="1" applyBorder="1" applyAlignment="1">
      <alignment horizontal="center" vertical="center"/>
    </xf>
    <xf numFmtId="165" fontId="1" fillId="35" borderId="22" xfId="1" applyNumberFormat="1" applyFont="1" applyFill="1" applyBorder="1"/>
    <xf numFmtId="0" fontId="0" fillId="0" borderId="0" xfId="0" quotePrefix="1"/>
    <xf numFmtId="0" fontId="0" fillId="36" borderId="0" xfId="0" applyFill="1"/>
    <xf numFmtId="0" fontId="0" fillId="0" borderId="47" xfId="0" applyBorder="1"/>
    <xf numFmtId="165" fontId="39" fillId="4" borderId="22" xfId="1" applyNumberFormat="1" applyFont="1" applyFill="1" applyBorder="1" applyAlignment="1">
      <alignment vertical="center"/>
    </xf>
    <xf numFmtId="165" fontId="39" fillId="4" borderId="22" xfId="1" applyNumberFormat="1" applyFont="1" applyFill="1" applyBorder="1" applyAlignment="1">
      <alignment horizontal="center" vertical="center"/>
    </xf>
    <xf numFmtId="165" fontId="39" fillId="4" borderId="9" xfId="1" applyNumberFormat="1" applyFont="1" applyFill="1" applyBorder="1" applyAlignment="1">
      <alignment horizontal="right" vertical="center"/>
    </xf>
    <xf numFmtId="3" fontId="40" fillId="7" borderId="2" xfId="0" applyNumberFormat="1" applyFont="1" applyFill="1" applyBorder="1" applyAlignment="1">
      <alignment horizontal="center" vertical="center"/>
    </xf>
    <xf numFmtId="165" fontId="40" fillId="7" borderId="2" xfId="1" applyNumberFormat="1" applyFont="1" applyFill="1" applyBorder="1" applyAlignment="1">
      <alignment horizontal="center" vertical="center"/>
    </xf>
    <xf numFmtId="165" fontId="40" fillId="7" borderId="3" xfId="1" applyNumberFormat="1" applyFont="1" applyFill="1" applyBorder="1" applyAlignment="1">
      <alignment horizontal="center" vertical="center"/>
    </xf>
    <xf numFmtId="165" fontId="39" fillId="0" borderId="2" xfId="1" applyNumberFormat="1" applyFont="1" applyBorder="1" applyAlignment="1">
      <alignment vertical="center"/>
    </xf>
    <xf numFmtId="165" fontId="41" fillId="3" borderId="8" xfId="1" applyNumberFormat="1" applyFont="1" applyFill="1" applyBorder="1" applyAlignment="1">
      <alignment horizontal="center" vertical="center" wrapText="1"/>
    </xf>
    <xf numFmtId="165" fontId="39" fillId="2" borderId="22" xfId="1" applyNumberFormat="1" applyFont="1" applyFill="1" applyBorder="1" applyAlignment="1">
      <alignment vertical="center"/>
    </xf>
    <xf numFmtId="165" fontId="42" fillId="2" borderId="22" xfId="1" applyNumberFormat="1" applyFont="1" applyFill="1" applyBorder="1" applyAlignment="1">
      <alignment vertical="center"/>
    </xf>
    <xf numFmtId="165" fontId="1" fillId="35" borderId="22" xfId="1" applyNumberFormat="1" applyFont="1" applyFill="1" applyBorder="1" applyAlignment="1">
      <alignment horizontal="center"/>
    </xf>
    <xf numFmtId="165" fontId="1" fillId="4" borderId="9" xfId="1" applyNumberFormat="1" applyFont="1" applyFill="1" applyBorder="1" applyAlignment="1">
      <alignment horizontal="right" vertical="center"/>
    </xf>
    <xf numFmtId="165" fontId="1" fillId="2" borderId="27" xfId="1" applyNumberFormat="1" applyFont="1" applyFill="1" applyBorder="1" applyAlignment="1">
      <alignment horizontal="center" vertical="center"/>
    </xf>
    <xf numFmtId="165" fontId="6" fillId="2" borderId="27" xfId="1" applyNumberFormat="1" applyFont="1" applyFill="1" applyBorder="1" applyAlignment="1">
      <alignment horizontal="center" vertical="center"/>
    </xf>
    <xf numFmtId="165" fontId="6" fillId="24" borderId="46" xfId="1" applyNumberFormat="1" applyFont="1" applyFill="1" applyBorder="1" applyAlignment="1">
      <alignment horizontal="center" vertical="center"/>
    </xf>
    <xf numFmtId="165" fontId="1" fillId="24" borderId="7" xfId="1" applyNumberFormat="1" applyFont="1" applyFill="1" applyBorder="1" applyAlignment="1">
      <alignment horizontal="center" vertical="center"/>
    </xf>
    <xf numFmtId="165" fontId="44" fillId="0" borderId="3" xfId="1" applyNumberFormat="1" applyFont="1" applyBorder="1" applyAlignment="1">
      <alignment vertical="center"/>
    </xf>
    <xf numFmtId="165" fontId="44" fillId="2" borderId="22" xfId="1" applyNumberFormat="1" applyFont="1" applyFill="1" applyBorder="1" applyAlignment="1">
      <alignment vertical="center"/>
    </xf>
    <xf numFmtId="165" fontId="44" fillId="4" borderId="9" xfId="1" applyNumberFormat="1" applyFont="1" applyFill="1" applyBorder="1" applyAlignment="1">
      <alignment horizontal="right" vertical="center"/>
    </xf>
    <xf numFmtId="165" fontId="18" fillId="5" borderId="0" xfId="1" applyNumberFormat="1" applyFont="1" applyFill="1" applyBorder="1" applyAlignment="1">
      <alignment horizontal="center" vertical="center"/>
    </xf>
    <xf numFmtId="165" fontId="17" fillId="9" borderId="0" xfId="1" applyNumberFormat="1" applyFont="1" applyFill="1" applyBorder="1" applyAlignment="1">
      <alignment horizontal="center" vertical="center"/>
    </xf>
    <xf numFmtId="165" fontId="16" fillId="9" borderId="0" xfId="1" applyNumberFormat="1" applyFont="1" applyFill="1" applyBorder="1" applyAlignment="1">
      <alignment horizontal="center" vertical="center"/>
    </xf>
    <xf numFmtId="165" fontId="16" fillId="11" borderId="0" xfId="1" applyNumberFormat="1" applyFont="1" applyFill="1" applyBorder="1" applyAlignment="1">
      <alignment horizontal="center" vertical="center"/>
    </xf>
    <xf numFmtId="165" fontId="17" fillId="15" borderId="0" xfId="1" applyNumberFormat="1" applyFont="1" applyFill="1" applyBorder="1" applyAlignment="1">
      <alignment horizontal="center" vertical="center"/>
    </xf>
    <xf numFmtId="165" fontId="15" fillId="7" borderId="0" xfId="1" applyNumberFormat="1" applyFont="1" applyFill="1" applyBorder="1" applyAlignment="1">
      <alignment horizontal="center" vertical="center"/>
    </xf>
    <xf numFmtId="165" fontId="19" fillId="16" borderId="0" xfId="1" applyNumberFormat="1" applyFont="1" applyFill="1" applyBorder="1" applyAlignment="1">
      <alignment horizontal="center" vertical="center"/>
    </xf>
    <xf numFmtId="165" fontId="19" fillId="16" borderId="0" xfId="5" applyNumberFormat="1" applyBorder="1" applyAlignment="1">
      <alignment horizontal="left" vertical="center"/>
    </xf>
    <xf numFmtId="165" fontId="20" fillId="16" borderId="0" xfId="5" applyNumberFormat="1" applyFont="1" applyBorder="1" applyAlignment="1">
      <alignment horizontal="center" vertical="center"/>
    </xf>
    <xf numFmtId="165" fontId="15" fillId="22" borderId="0" xfId="1" applyNumberFormat="1" applyFont="1" applyFill="1" applyBorder="1" applyAlignment="1">
      <alignment horizontal="center" vertical="center"/>
    </xf>
    <xf numFmtId="165" fontId="16" fillId="0" borderId="0" xfId="1" applyNumberFormat="1" applyFont="1" applyBorder="1" applyAlignment="1">
      <alignment vertical="center"/>
    </xf>
    <xf numFmtId="165" fontId="32" fillId="2" borderId="22" xfId="1" applyNumberFormat="1" applyFont="1" applyFill="1" applyBorder="1" applyAlignment="1">
      <alignment vertical="center"/>
    </xf>
    <xf numFmtId="165" fontId="1" fillId="35" borderId="22" xfId="1" applyNumberFormat="1" applyFont="1" applyFill="1" applyBorder="1" applyAlignment="1">
      <alignment vertical="center"/>
    </xf>
    <xf numFmtId="165" fontId="45" fillId="0" borderId="2" xfId="1" applyNumberFormat="1" applyFont="1" applyBorder="1" applyAlignment="1">
      <alignment vertical="center"/>
    </xf>
    <xf numFmtId="3" fontId="46" fillId="7" borderId="2" xfId="0" applyNumberFormat="1" applyFont="1" applyFill="1" applyBorder="1" applyAlignment="1">
      <alignment vertical="center"/>
    </xf>
    <xf numFmtId="165" fontId="45" fillId="7" borderId="3" xfId="1" applyNumberFormat="1" applyFont="1" applyFill="1" applyBorder="1" applyAlignment="1">
      <alignment vertical="center"/>
    </xf>
    <xf numFmtId="165" fontId="45" fillId="0" borderId="3" xfId="1" applyNumberFormat="1" applyFont="1" applyBorder="1" applyAlignment="1">
      <alignment horizontal="center" vertical="center"/>
    </xf>
    <xf numFmtId="165" fontId="46" fillId="0" borderId="3" xfId="1" applyNumberFormat="1" applyFont="1" applyBorder="1" applyAlignment="1">
      <alignment vertical="center"/>
    </xf>
    <xf numFmtId="165" fontId="45" fillId="0" borderId="2" xfId="1" applyNumberFormat="1" applyFont="1" applyBorder="1" applyAlignment="1">
      <alignment horizontal="center" vertical="center"/>
    </xf>
    <xf numFmtId="165" fontId="45" fillId="7" borderId="3" xfId="1" applyNumberFormat="1" applyFont="1" applyFill="1" applyBorder="1" applyAlignment="1">
      <alignment horizontal="center" vertical="center"/>
    </xf>
    <xf numFmtId="165" fontId="45" fillId="7" borderId="2" xfId="1" applyNumberFormat="1" applyFont="1" applyFill="1" applyBorder="1" applyAlignment="1">
      <alignment horizontal="center" vertical="center"/>
    </xf>
    <xf numFmtId="165" fontId="45" fillId="0" borderId="3" xfId="1" applyNumberFormat="1" applyFont="1" applyBorder="1" applyAlignment="1">
      <alignment vertical="center"/>
    </xf>
    <xf numFmtId="165" fontId="45" fillId="7" borderId="2" xfId="1" applyNumberFormat="1" applyFont="1" applyFill="1" applyBorder="1" applyAlignment="1">
      <alignment vertical="center"/>
    </xf>
    <xf numFmtId="165" fontId="48" fillId="3" borderId="8" xfId="1" applyNumberFormat="1" applyFont="1" applyFill="1" applyBorder="1" applyAlignment="1">
      <alignment horizontal="center" vertical="center" wrapText="1"/>
    </xf>
    <xf numFmtId="165" fontId="0" fillId="0" borderId="0" xfId="0" applyNumberFormat="1"/>
    <xf numFmtId="165" fontId="49" fillId="0" borderId="3" xfId="1" applyNumberFormat="1" applyFont="1" applyBorder="1" applyAlignment="1">
      <alignment vertical="center"/>
    </xf>
    <xf numFmtId="165" fontId="1" fillId="7" borderId="51" xfId="1" applyNumberFormat="1" applyFont="1" applyFill="1" applyBorder="1" applyAlignment="1">
      <alignment vertical="center"/>
    </xf>
    <xf numFmtId="165" fontId="45" fillId="0" borderId="20" xfId="1" applyNumberFormat="1" applyFont="1" applyBorder="1" applyAlignment="1">
      <alignment vertical="center"/>
    </xf>
    <xf numFmtId="165" fontId="6" fillId="7" borderId="21" xfId="1" applyNumberFormat="1" applyFont="1" applyFill="1" applyBorder="1" applyAlignment="1">
      <alignment horizontal="center" vertical="center"/>
    </xf>
    <xf numFmtId="165" fontId="6" fillId="0" borderId="20" xfId="1" applyNumberFormat="1" applyFont="1" applyBorder="1" applyAlignment="1">
      <alignment horizontal="center" vertical="center"/>
    </xf>
    <xf numFmtId="165" fontId="6" fillId="7" borderId="1" xfId="1" applyNumberFormat="1" applyFont="1" applyFill="1" applyBorder="1" applyAlignment="1">
      <alignment horizontal="center" vertical="center"/>
    </xf>
    <xf numFmtId="165" fontId="45" fillId="0" borderId="42" xfId="1" applyNumberFormat="1" applyFont="1" applyBorder="1" applyAlignment="1">
      <alignment vertical="center"/>
    </xf>
    <xf numFmtId="165" fontId="6" fillId="2" borderId="26" xfId="1" applyNumberFormat="1" applyFont="1" applyFill="1" applyBorder="1" applyAlignment="1">
      <alignment vertical="center"/>
    </xf>
    <xf numFmtId="165" fontId="47" fillId="18" borderId="52" xfId="6" applyNumberFormat="1" applyFont="1" applyBorder="1" applyAlignment="1">
      <alignment horizontal="center" vertical="center"/>
    </xf>
    <xf numFmtId="165" fontId="45" fillId="0" borderId="9" xfId="1" applyNumberFormat="1" applyFont="1" applyBorder="1" applyAlignment="1">
      <alignment vertical="center"/>
    </xf>
    <xf numFmtId="165" fontId="6" fillId="0" borderId="9" xfId="1" applyNumberFormat="1" applyFont="1" applyBorder="1" applyAlignment="1">
      <alignment horizontal="center" vertical="center"/>
    </xf>
    <xf numFmtId="165" fontId="31" fillId="4" borderId="53" xfId="1" applyNumberFormat="1" applyFont="1" applyFill="1" applyBorder="1" applyAlignment="1">
      <alignment horizontal="right" vertical="center"/>
    </xf>
    <xf numFmtId="165" fontId="40" fillId="4" borderId="9" xfId="1" applyNumberFormat="1" applyFont="1" applyFill="1" applyBorder="1" applyAlignment="1">
      <alignment horizontal="right" vertical="center"/>
    </xf>
    <xf numFmtId="165" fontId="49" fillId="4" borderId="9" xfId="1" applyNumberFormat="1" applyFont="1" applyFill="1" applyBorder="1" applyAlignment="1">
      <alignment horizontal="right" vertical="center"/>
    </xf>
    <xf numFmtId="165" fontId="1" fillId="0" borderId="9" xfId="1" applyNumberFormat="1" applyFont="1" applyBorder="1" applyAlignment="1">
      <alignment vertical="center"/>
    </xf>
    <xf numFmtId="165" fontId="43" fillId="3" borderId="8" xfId="1" applyNumberFormat="1" applyFont="1" applyFill="1" applyBorder="1" applyAlignment="1">
      <alignment horizontal="center" vertical="center" wrapText="1"/>
    </xf>
    <xf numFmtId="165" fontId="6" fillId="2" borderId="7" xfId="1" applyNumberFormat="1" applyFont="1" applyFill="1" applyBorder="1" applyAlignment="1">
      <alignment horizontal="center" vertical="center"/>
    </xf>
    <xf numFmtId="165" fontId="6" fillId="2" borderId="54" xfId="1" applyNumberFormat="1" applyFont="1" applyFill="1" applyBorder="1" applyAlignment="1">
      <alignment vertical="center"/>
    </xf>
    <xf numFmtId="165" fontId="1" fillId="7" borderId="35" xfId="1" applyNumberFormat="1" applyFont="1" applyFill="1" applyBorder="1" applyAlignment="1">
      <alignment vertical="center"/>
    </xf>
    <xf numFmtId="165" fontId="1" fillId="7" borderId="0" xfId="1" applyNumberFormat="1" applyFont="1" applyFill="1" applyBorder="1" applyAlignment="1">
      <alignment vertical="center"/>
    </xf>
    <xf numFmtId="165" fontId="45" fillId="7" borderId="0" xfId="1" applyNumberFormat="1" applyFont="1" applyFill="1" applyBorder="1" applyAlignment="1">
      <alignment horizontal="center" vertical="center"/>
    </xf>
    <xf numFmtId="165" fontId="45" fillId="0" borderId="0" xfId="1" applyNumberFormat="1" applyFont="1" applyBorder="1" applyAlignment="1">
      <alignment horizontal="center" vertical="center"/>
    </xf>
    <xf numFmtId="165" fontId="45" fillId="0" borderId="0" xfId="1" applyNumberFormat="1" applyFont="1" applyBorder="1" applyAlignment="1">
      <alignment vertical="center"/>
    </xf>
    <xf numFmtId="165" fontId="1" fillId="0" borderId="0" xfId="1" applyNumberFormat="1" applyFont="1" applyBorder="1" applyAlignment="1">
      <alignment horizontal="center" vertical="center"/>
    </xf>
    <xf numFmtId="165" fontId="1" fillId="7" borderId="0" xfId="1" applyNumberFormat="1" applyFont="1" applyFill="1" applyBorder="1" applyAlignment="1">
      <alignment horizontal="center" vertical="center"/>
    </xf>
    <xf numFmtId="165" fontId="1" fillId="0" borderId="35" xfId="1" applyNumberFormat="1" applyFont="1" applyBorder="1" applyAlignment="1">
      <alignment horizontal="center" vertical="center"/>
    </xf>
    <xf numFmtId="165" fontId="6" fillId="7" borderId="0" xfId="1" applyNumberFormat="1" applyFont="1" applyFill="1" applyBorder="1" applyAlignment="1">
      <alignment horizontal="center" vertical="center"/>
    </xf>
    <xf numFmtId="165" fontId="1" fillId="0" borderId="0" xfId="1" applyNumberFormat="1" applyFont="1" applyBorder="1" applyAlignment="1">
      <alignment vertical="center"/>
    </xf>
    <xf numFmtId="165" fontId="45" fillId="7" borderId="0" xfId="1" applyNumberFormat="1" applyFont="1" applyFill="1" applyBorder="1" applyAlignment="1">
      <alignment vertical="center"/>
    </xf>
    <xf numFmtId="0" fontId="45" fillId="7" borderId="0" xfId="0" applyFont="1" applyFill="1"/>
    <xf numFmtId="165" fontId="6" fillId="0" borderId="0" xfId="1" applyNumberFormat="1" applyFont="1" applyBorder="1" applyAlignment="1">
      <alignment horizontal="center" vertical="center"/>
    </xf>
    <xf numFmtId="165" fontId="1" fillId="32" borderId="53" xfId="1" applyNumberFormat="1" applyFont="1" applyFill="1" applyBorder="1" applyAlignment="1">
      <alignment horizontal="center" vertical="center"/>
    </xf>
    <xf numFmtId="165" fontId="6" fillId="24" borderId="55" xfId="1" applyNumberFormat="1" applyFont="1" applyFill="1" applyBorder="1" applyAlignment="1">
      <alignment horizontal="center" vertical="center"/>
    </xf>
    <xf numFmtId="165" fontId="1" fillId="0" borderId="56" xfId="1" applyNumberFormat="1" applyFont="1" applyBorder="1" applyAlignment="1">
      <alignment horizontal="center" vertical="center"/>
    </xf>
    <xf numFmtId="165" fontId="6" fillId="7" borderId="10" xfId="1" applyNumberFormat="1" applyFont="1" applyFill="1" applyBorder="1" applyAlignment="1">
      <alignment horizontal="center" vertical="center"/>
    </xf>
    <xf numFmtId="165" fontId="50" fillId="24" borderId="28" xfId="6" applyNumberFormat="1" applyFont="1" applyFill="1" applyAlignment="1">
      <alignment horizontal="center" vertical="center"/>
    </xf>
    <xf numFmtId="165" fontId="1" fillId="2" borderId="43" xfId="1" applyNumberFormat="1" applyFont="1" applyFill="1" applyBorder="1" applyAlignment="1">
      <alignment horizontal="center" vertical="center"/>
    </xf>
    <xf numFmtId="165" fontId="1" fillId="7" borderId="1" xfId="1" applyNumberFormat="1" applyFont="1" applyFill="1" applyBorder="1" applyAlignment="1">
      <alignment vertical="center"/>
    </xf>
    <xf numFmtId="165" fontId="2" fillId="4" borderId="3" xfId="1" applyNumberFormat="1" applyFont="1" applyFill="1" applyBorder="1" applyAlignment="1">
      <alignment horizontal="right" vertical="center"/>
    </xf>
    <xf numFmtId="165" fontId="9" fillId="10" borderId="46" xfId="1" applyNumberFormat="1" applyFont="1" applyFill="1" applyBorder="1" applyAlignment="1">
      <alignment horizontal="center" vertical="center"/>
    </xf>
    <xf numFmtId="165" fontId="9" fillId="10" borderId="30" xfId="1" applyNumberFormat="1" applyFont="1" applyFill="1" applyBorder="1" applyAlignment="1">
      <alignment horizontal="center" vertical="center"/>
    </xf>
    <xf numFmtId="165" fontId="9" fillId="10" borderId="40" xfId="1" applyNumberFormat="1" applyFont="1" applyFill="1" applyBorder="1" applyAlignment="1">
      <alignment horizontal="center" vertical="center"/>
    </xf>
    <xf numFmtId="165" fontId="21" fillId="3" borderId="4" xfId="1" applyNumberFormat="1" applyFont="1" applyFill="1" applyBorder="1" applyAlignment="1">
      <alignment horizontal="center" vertical="center"/>
    </xf>
    <xf numFmtId="165" fontId="21" fillId="3" borderId="50" xfId="1" applyNumberFormat="1" applyFont="1" applyFill="1" applyBorder="1" applyAlignment="1">
      <alignment horizontal="center" vertical="center"/>
    </xf>
    <xf numFmtId="165" fontId="21" fillId="3" borderId="44" xfId="1" applyNumberFormat="1" applyFont="1" applyFill="1" applyBorder="1" applyAlignment="1">
      <alignment horizontal="center" vertical="center"/>
    </xf>
    <xf numFmtId="165" fontId="6" fillId="24" borderId="46" xfId="1" applyNumberFormat="1" applyFont="1" applyFill="1" applyBorder="1" applyAlignment="1">
      <alignment horizontal="center" vertical="center"/>
    </xf>
    <xf numFmtId="165" fontId="6" fillId="24" borderId="55" xfId="1" applyNumberFormat="1" applyFont="1" applyFill="1" applyBorder="1" applyAlignment="1">
      <alignment horizontal="center" vertical="center"/>
    </xf>
    <xf numFmtId="165" fontId="9" fillId="10" borderId="24" xfId="1" applyNumberFormat="1" applyFont="1" applyFill="1" applyBorder="1" applyAlignment="1">
      <alignment vertical="center"/>
    </xf>
    <xf numFmtId="165" fontId="9" fillId="10" borderId="30" xfId="1" applyNumberFormat="1" applyFont="1" applyFill="1" applyBorder="1" applyAlignment="1">
      <alignment vertical="center"/>
    </xf>
    <xf numFmtId="165" fontId="9" fillId="10" borderId="40" xfId="1" applyNumberFormat="1" applyFont="1" applyFill="1" applyBorder="1" applyAlignment="1">
      <alignment vertical="center"/>
    </xf>
    <xf numFmtId="165" fontId="1" fillId="7" borderId="0" xfId="1" applyNumberFormat="1" applyFont="1" applyFill="1" applyAlignment="1">
      <alignment horizontal="center" vertical="center" wrapText="1"/>
    </xf>
    <xf numFmtId="165" fontId="9" fillId="10" borderId="39" xfId="1" applyNumberFormat="1" applyFont="1" applyFill="1" applyBorder="1" applyAlignment="1">
      <alignment horizontal="center" vertical="center"/>
    </xf>
    <xf numFmtId="165" fontId="9" fillId="10" borderId="38" xfId="1" applyNumberFormat="1" applyFont="1" applyFill="1" applyBorder="1" applyAlignment="1">
      <alignment horizontal="center" vertical="center"/>
    </xf>
    <xf numFmtId="165" fontId="11" fillId="3" borderId="48" xfId="1" applyNumberFormat="1" applyFont="1" applyFill="1" applyBorder="1" applyAlignment="1">
      <alignment horizontal="center" vertical="center" wrapText="1"/>
    </xf>
    <xf numFmtId="165" fontId="11" fillId="3" borderId="57" xfId="1" applyNumberFormat="1" applyFont="1" applyFill="1" applyBorder="1" applyAlignment="1">
      <alignment horizontal="center" vertical="center" wrapText="1"/>
    </xf>
    <xf numFmtId="165" fontId="6" fillId="24" borderId="4" xfId="1" applyNumberFormat="1" applyFont="1" applyFill="1" applyBorder="1" applyAlignment="1">
      <alignment horizontal="center" vertical="center"/>
    </xf>
    <xf numFmtId="165" fontId="6" fillId="24" borderId="44" xfId="1" applyNumberFormat="1" applyFont="1" applyFill="1" applyBorder="1" applyAlignment="1">
      <alignment horizontal="center" vertical="center"/>
    </xf>
    <xf numFmtId="165" fontId="6" fillId="24" borderId="48" xfId="1" applyNumberFormat="1" applyFont="1" applyFill="1" applyBorder="1" applyAlignment="1">
      <alignment horizontal="center" vertical="center"/>
    </xf>
    <xf numFmtId="165" fontId="16" fillId="0" borderId="1" xfId="1" applyNumberFormat="1" applyFont="1" applyBorder="1" applyAlignment="1">
      <alignment horizontal="center" vertical="center"/>
    </xf>
    <xf numFmtId="165" fontId="15" fillId="7" borderId="9" xfId="1" applyNumberFormat="1" applyFont="1" applyFill="1" applyBorder="1" applyAlignment="1">
      <alignment horizontal="center" vertical="center"/>
    </xf>
    <xf numFmtId="165" fontId="15" fillId="7" borderId="3" xfId="1" applyNumberFormat="1" applyFont="1" applyFill="1" applyBorder="1" applyAlignment="1">
      <alignment horizontal="center" vertical="center"/>
    </xf>
    <xf numFmtId="165" fontId="16" fillId="0" borderId="9" xfId="1" applyNumberFormat="1" applyFont="1" applyBorder="1" applyAlignment="1">
      <alignment horizontal="center" vertical="center"/>
    </xf>
    <xf numFmtId="165" fontId="16" fillId="0" borderId="3" xfId="1" applyNumberFormat="1" applyFont="1" applyBorder="1" applyAlignment="1">
      <alignment horizontal="center" vertical="center"/>
    </xf>
    <xf numFmtId="165" fontId="20" fillId="16" borderId="15" xfId="1" applyNumberFormat="1" applyFont="1" applyFill="1" applyBorder="1" applyAlignment="1">
      <alignment horizontal="center" vertical="center"/>
    </xf>
    <xf numFmtId="165" fontId="20" fillId="16" borderId="1" xfId="1" applyNumberFormat="1" applyFont="1" applyFill="1" applyBorder="1" applyAlignment="1">
      <alignment horizontal="center" vertical="center"/>
    </xf>
    <xf numFmtId="165" fontId="19" fillId="16" borderId="1" xfId="5" applyNumberFormat="1" applyBorder="1" applyAlignment="1">
      <alignment horizontal="left" vertical="center"/>
    </xf>
    <xf numFmtId="165" fontId="19" fillId="16" borderId="17" xfId="5" applyNumberFormat="1" applyBorder="1" applyAlignment="1">
      <alignment horizontal="left" vertical="center"/>
    </xf>
    <xf numFmtId="165" fontId="20" fillId="16" borderId="19" xfId="5" applyNumberFormat="1" applyFont="1" applyBorder="1" applyAlignment="1">
      <alignment horizontal="center" vertical="center"/>
    </xf>
    <xf numFmtId="165" fontId="20" fillId="16" borderId="14" xfId="5" applyNumberFormat="1" applyFont="1" applyBorder="1" applyAlignment="1">
      <alignment horizontal="center" vertical="center"/>
    </xf>
    <xf numFmtId="165" fontId="16" fillId="0" borderId="35" xfId="1" applyNumberFormat="1" applyFont="1" applyBorder="1" applyAlignment="1">
      <alignment vertical="center"/>
    </xf>
    <xf numFmtId="165" fontId="15" fillId="20" borderId="36" xfId="1" applyNumberFormat="1" applyFont="1" applyFill="1" applyBorder="1" applyAlignment="1">
      <alignment horizontal="center" vertical="center"/>
    </xf>
    <xf numFmtId="165" fontId="15" fillId="20" borderId="0" xfId="1" applyNumberFormat="1" applyFont="1" applyFill="1" applyBorder="1" applyAlignment="1">
      <alignment horizontal="center" vertical="center"/>
    </xf>
    <xf numFmtId="165" fontId="2" fillId="20" borderId="31" xfId="7" applyNumberFormat="1" applyFont="1" applyFill="1" applyBorder="1" applyAlignment="1">
      <alignment horizontal="center" vertical="center"/>
    </xf>
    <xf numFmtId="165" fontId="2" fillId="20" borderId="32" xfId="7" applyNumberFormat="1" applyFont="1" applyFill="1" applyBorder="1" applyAlignment="1">
      <alignment horizontal="center" vertical="center"/>
    </xf>
    <xf numFmtId="165" fontId="15" fillId="20" borderId="0" xfId="1" applyNumberFormat="1" applyFont="1" applyFill="1" applyBorder="1" applyAlignment="1">
      <alignment horizontal="center" vertical="top"/>
    </xf>
    <xf numFmtId="165" fontId="15" fillId="20" borderId="49" xfId="1" applyNumberFormat="1" applyFont="1" applyFill="1" applyBorder="1" applyAlignment="1">
      <alignment horizontal="center" vertical="top"/>
    </xf>
    <xf numFmtId="0" fontId="0" fillId="0" borderId="0" xfId="0" applyNumberFormat="1"/>
  </cellXfs>
  <cellStyles count="19">
    <cellStyle name="Comma" xfId="1" builtinId="3"/>
    <cellStyle name="Comma 2" xfId="8" xr:uid="{00000000-0005-0000-0000-000030000000}"/>
    <cellStyle name="Comma 2 2" xfId="11" xr:uid="{2E48F0B3-D705-4A21-8E64-C6AD6A9EAFD6}"/>
    <cellStyle name="Comma 2 3" xfId="12" xr:uid="{283EC8A9-8503-4282-B5DD-4039E946CA93}"/>
    <cellStyle name="Comma 2 4" xfId="13" xr:uid="{062379B6-94D9-4C06-B99F-C559E37E54DB}"/>
    <cellStyle name="Comma 2 5" xfId="15" xr:uid="{470CC54A-4998-40FA-8172-3C093223B6A8}"/>
    <cellStyle name="Comma 2 6" xfId="16" xr:uid="{925D4D30-DBBD-48D9-8951-0824C7779D06}"/>
    <cellStyle name="Comma 2 7" xfId="18" xr:uid="{F2D87F0B-BE2B-477C-93DD-D6547AF5BDAB}"/>
    <cellStyle name="Comma 3" xfId="9" xr:uid="{00000000-0005-0000-0000-000031000000}"/>
    <cellStyle name="Comma 4" xfId="10" xr:uid="{955125CB-6A9C-473B-9BD6-EB593E592DF4}"/>
    <cellStyle name="Normal" xfId="0" builtinId="0"/>
    <cellStyle name="Normal 2" xfId="2" xr:uid="{00000000-0005-0000-0000-000002000000}"/>
    <cellStyle name="הערה" xfId="4" builtinId="10"/>
    <cellStyle name="חישוב" xfId="14" builtinId="22"/>
    <cellStyle name="טוב 2" xfId="17" xr:uid="{BF800510-BF1D-4E1F-B3B8-324C0A864A59}"/>
    <cellStyle name="ניטראלי" xfId="3" builtinId="28"/>
    <cellStyle name="פלט" xfId="6" builtinId="21"/>
    <cellStyle name="רע" xfId="5" builtinId="27"/>
    <cellStyle name="תא מסומן" xfId="7" builtinId="23"/>
  </cellStyles>
  <dxfs count="4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charset val="177"/>
        <scheme val="none"/>
      </font>
      <numFmt numFmtId="165" formatCode="_ * #,##0_ ;_ * \-#,##0_ ;_ * &quot;-&quot;??_ ;_ @_ "/>
      <fill>
        <patternFill patternType="solid">
          <fgColor indexed="64"/>
          <bgColor theme="2" tint="-0.249977111117893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</dxfs>
  <tableStyles count="0" defaultTableStyle="TableStyleMedium9" defaultPivotStyle="PivotStyleLight16"/>
  <colors>
    <mruColors>
      <color rgb="FFFFFF66"/>
      <color rgb="FFFF00FF"/>
      <color rgb="FF66FFFF"/>
      <color rgb="FFF77B71"/>
      <color rgb="FFFFFF99"/>
      <color rgb="FF00FFCC"/>
      <color rgb="FFEFAC79"/>
      <color rgb="FFE5A683"/>
      <color rgb="FF00FF00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594C82-D772-4303-8466-8F4E57244C1E}" name="טבלה374" displayName="טבלה374" ref="B1:B42" totalsRowShown="0">
  <autoFilter ref="B1:B42" xr:uid="{A82822D2-CE89-4203-86E5-4EA1FB3117F7}"/>
  <sortState xmlns:xlrd2="http://schemas.microsoft.com/office/spreadsheetml/2017/richdata2" ref="B2:B30">
    <sortCondition ref="B1:B30"/>
  </sortState>
  <tableColumns count="1">
    <tableColumn id="1" xr3:uid="{090F9198-E9EF-4B9C-9C7D-672AF041D8AE}" name="שם צמח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A50E3E-FE67-4336-B701-7DF4C9A0B815}" name="טבלה485" displayName="טבלה485" ref="C1:C42" totalsRowShown="0">
  <autoFilter ref="C1:C42" xr:uid="{8B80B5DA-562A-4037-AD2C-558F09C0493D}"/>
  <tableColumns count="1">
    <tableColumn id="1" xr3:uid="{9D247F23-60CB-40AA-A8D9-B335C854D7A7}" name="מוכן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44E69B-4CD4-4CCC-B02F-9664CE9172CB}" name="טבלה596" displayName="טבלה596" ref="D1:D42" totalsRowShown="0">
  <autoFilter ref="D1:D42" xr:uid="{0E812253-1409-4026-AA95-956E1F93EF8A}"/>
  <tableColumns count="1">
    <tableColumn id="1" xr3:uid="{093834BC-5B60-4816-B534-2F737118536E}" name="לא מוכן" dataDxfId="3">
      <calculatedColumnFormula>200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471CB7-19D9-4EAE-86A8-636C97694D4A}" name="טבלה14310" displayName="טבלה14310" ref="A5:G52" totalsRowCount="1">
  <autoFilter ref="A5:G51" xr:uid="{7B897E84-408C-485F-88F5-E978E144D46B}"/>
  <sortState xmlns:xlrd2="http://schemas.microsoft.com/office/spreadsheetml/2017/richdata2" ref="A6:G44">
    <sortCondition ref="B43:B44"/>
  </sortState>
  <tableColumns count="7">
    <tableColumn id="1" xr3:uid="{8FBE7179-1337-4410-879F-954163CE6CF0}" name="עמודה1"/>
    <tableColumn id="2" xr3:uid="{9ECD4EA1-9D68-4E26-A707-6D8606A37017}" name="שם "/>
    <tableColumn id="3" xr3:uid="{F9816E66-45F6-43B0-A904-956847C156D0}" name="מוכן"/>
    <tableColumn id="4" xr3:uid="{A4DB10AA-EC16-4ACC-ADA9-9CF3DF526A04}" name="לא מוכן"/>
    <tableColumn id="5" xr3:uid="{30EB27BC-C39B-4CCE-8259-EBB971A80275}" name="שם 2"/>
    <tableColumn id="6" xr3:uid="{634B9CDE-9E34-4F74-B2D2-964DFEF03809}" name="מוכן2"/>
    <tableColumn id="7" xr3:uid="{BCD87249-44EE-4DA8-B2E4-08746B3CDE0A}" name="לא מוכן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53214-BDAE-4B87-97CC-5F326A282C5A}" name="טבלה1" displayName="טבלה1" ref="A2:E191" totalsRowShown="0">
  <autoFilter ref="A2:E191" xr:uid="{9666D7F8-F7CD-4549-AA4B-2AE615AB3EE9}"/>
  <sortState xmlns:xlrd2="http://schemas.microsoft.com/office/spreadsheetml/2017/richdata2" ref="A3:D191">
    <sortCondition ref="A2:A191"/>
  </sortState>
  <tableColumns count="5">
    <tableColumn id="1" xr3:uid="{A0BB0949-23FC-4DC6-BFE8-E74DD8D1D1C4}" name="שם הצמח" dataDxfId="2" dataCellStyle="Comma"/>
    <tableColumn id="2" xr3:uid="{1DAE6328-7DCD-47D6-A214-745E974BF81F}" name="גודל 3"/>
    <tableColumn id="3" xr3:uid="{93B68D13-3D2B-421A-A116-F8DD4C9BA5AB}" name="גודל 4"/>
    <tableColumn id="4" xr3:uid="{F47CE49C-6D67-429A-B00A-C0F94667F638}" name="סך מכירות צמח" dataDxfId="1">
      <calculatedColumnFormula>SUM(טבלה1[[#This Row],[גודל 3]:[גודל 4]])</calculatedColumnFormula>
    </tableColumn>
    <tableColumn id="5" xr3:uid="{B3953183-BC4E-4829-86EB-DF5DC1EBE281}" name="גודל 7" dataDxfId="0"/>
  </tableColumns>
  <tableStyleInfo name="TableStyleLight11" showFirstColumn="0" showLastColumn="0" showRowStripes="1" showColumn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46107-0EA5-41A3-B89F-833D64B39BE7}">
  <dimension ref="A1:D45"/>
  <sheetViews>
    <sheetView rightToLeft="1" topLeftCell="A24" workbookViewId="0">
      <selection activeCell="E36" sqref="E36"/>
    </sheetView>
  </sheetViews>
  <sheetFormatPr defaultRowHeight="15" x14ac:dyDescent="0.25"/>
  <cols>
    <col min="2" max="2" width="29.7109375" customWidth="1"/>
    <col min="3" max="3" width="13.85546875" customWidth="1"/>
    <col min="4" max="4" width="18.140625" customWidth="1"/>
  </cols>
  <sheetData>
    <row r="1" spans="1:4" ht="21" customHeight="1" x14ac:dyDescent="0.25">
      <c r="B1" t="s">
        <v>550</v>
      </c>
      <c r="C1" t="s">
        <v>2</v>
      </c>
      <c r="D1" t="s">
        <v>3</v>
      </c>
    </row>
    <row r="2" spans="1:4" ht="21" customHeight="1" x14ac:dyDescent="0.25">
      <c r="A2" t="s">
        <v>555</v>
      </c>
      <c r="B2" t="s">
        <v>419</v>
      </c>
      <c r="D2">
        <f>141</f>
        <v>141</v>
      </c>
    </row>
    <row r="3" spans="1:4" ht="21" customHeight="1" x14ac:dyDescent="0.25">
      <c r="A3" t="s">
        <v>555</v>
      </c>
      <c r="B3" t="s">
        <v>93</v>
      </c>
      <c r="C3">
        <f>90</f>
        <v>90</v>
      </c>
      <c r="D3">
        <f>100</f>
        <v>100</v>
      </c>
    </row>
    <row r="4" spans="1:4" ht="21" customHeight="1" x14ac:dyDescent="0.25">
      <c r="A4" t="s">
        <v>555</v>
      </c>
      <c r="B4" t="s">
        <v>351</v>
      </c>
      <c r="C4">
        <f>10</f>
        <v>10</v>
      </c>
      <c r="D4">
        <f>62-7-10</f>
        <v>45</v>
      </c>
    </row>
    <row r="5" spans="1:4" ht="21" customHeight="1" x14ac:dyDescent="0.25">
      <c r="A5" t="s">
        <v>555</v>
      </c>
      <c r="B5" t="s">
        <v>585</v>
      </c>
      <c r="D5">
        <f>64</f>
        <v>64</v>
      </c>
    </row>
    <row r="6" spans="1:4" ht="21" customHeight="1" x14ac:dyDescent="0.25">
      <c r="A6" t="s">
        <v>555</v>
      </c>
      <c r="B6" t="s">
        <v>528</v>
      </c>
      <c r="D6">
        <f>158</f>
        <v>158</v>
      </c>
    </row>
    <row r="7" spans="1:4" ht="21" customHeight="1" x14ac:dyDescent="0.25">
      <c r="A7" t="s">
        <v>555</v>
      </c>
      <c r="B7" t="s">
        <v>570</v>
      </c>
      <c r="C7">
        <f>99-5</f>
        <v>94</v>
      </c>
    </row>
    <row r="8" spans="1:4" ht="21" customHeight="1" x14ac:dyDescent="0.25">
      <c r="A8" t="s">
        <v>555</v>
      </c>
      <c r="B8" t="s">
        <v>597</v>
      </c>
      <c r="C8">
        <f>13</f>
        <v>13</v>
      </c>
    </row>
    <row r="9" spans="1:4" ht="21" customHeight="1" x14ac:dyDescent="0.25">
      <c r="A9" t="s">
        <v>555</v>
      </c>
      <c r="B9" t="s">
        <v>357</v>
      </c>
      <c r="C9">
        <f>20-20</f>
        <v>0</v>
      </c>
      <c r="D9">
        <f>140</f>
        <v>140</v>
      </c>
    </row>
    <row r="10" spans="1:4" ht="21" customHeight="1" x14ac:dyDescent="0.25">
      <c r="A10" t="s">
        <v>555</v>
      </c>
      <c r="B10" t="s">
        <v>564</v>
      </c>
      <c r="D10">
        <f>224</f>
        <v>224</v>
      </c>
    </row>
    <row r="11" spans="1:4" ht="21" customHeight="1" x14ac:dyDescent="0.25">
      <c r="A11" t="s">
        <v>555</v>
      </c>
      <c r="B11" t="s">
        <v>598</v>
      </c>
      <c r="D11">
        <f>1000</f>
        <v>1000</v>
      </c>
    </row>
    <row r="12" spans="1:4" ht="21" customHeight="1" x14ac:dyDescent="0.25">
      <c r="A12" t="s">
        <v>555</v>
      </c>
      <c r="B12" t="s">
        <v>530</v>
      </c>
      <c r="D12">
        <f>158</f>
        <v>158</v>
      </c>
    </row>
    <row r="13" spans="1:4" ht="21" customHeight="1" x14ac:dyDescent="0.25">
      <c r="A13" t="s">
        <v>555</v>
      </c>
      <c r="B13" t="s">
        <v>183</v>
      </c>
      <c r="C13">
        <f>332</f>
        <v>332</v>
      </c>
    </row>
    <row r="14" spans="1:4" ht="21" customHeight="1" x14ac:dyDescent="0.25">
      <c r="A14" t="s">
        <v>555</v>
      </c>
      <c r="B14" t="s">
        <v>596</v>
      </c>
      <c r="D14">
        <f>116</f>
        <v>116</v>
      </c>
    </row>
    <row r="15" spans="1:4" ht="21" customHeight="1" x14ac:dyDescent="0.25">
      <c r="A15" t="s">
        <v>555</v>
      </c>
      <c r="B15" t="s">
        <v>569</v>
      </c>
      <c r="C15">
        <f>19</f>
        <v>19</v>
      </c>
    </row>
    <row r="16" spans="1:4" ht="21" customHeight="1" x14ac:dyDescent="0.25">
      <c r="A16" t="s">
        <v>555</v>
      </c>
      <c r="B16" t="s">
        <v>556</v>
      </c>
      <c r="D16">
        <f>234-130</f>
        <v>104</v>
      </c>
    </row>
    <row r="17" spans="1:4" ht="21" customHeight="1" x14ac:dyDescent="0.25">
      <c r="A17" t="s">
        <v>555</v>
      </c>
      <c r="B17" t="s">
        <v>416</v>
      </c>
      <c r="D17">
        <f>62+66</f>
        <v>128</v>
      </c>
    </row>
    <row r="18" spans="1:4" ht="21" customHeight="1" x14ac:dyDescent="0.25">
      <c r="A18" t="s">
        <v>555</v>
      </c>
      <c r="B18" t="s">
        <v>486</v>
      </c>
      <c r="C18">
        <f>136-40</f>
        <v>96</v>
      </c>
    </row>
    <row r="19" spans="1:4" ht="21" customHeight="1" x14ac:dyDescent="0.25">
      <c r="A19" t="s">
        <v>555</v>
      </c>
      <c r="B19" t="s">
        <v>445</v>
      </c>
      <c r="C19">
        <f>164</f>
        <v>164</v>
      </c>
    </row>
    <row r="20" spans="1:4" ht="21" customHeight="1" x14ac:dyDescent="0.25">
      <c r="A20" t="s">
        <v>555</v>
      </c>
      <c r="B20" t="s">
        <v>251</v>
      </c>
      <c r="D20">
        <f>100</f>
        <v>100</v>
      </c>
    </row>
    <row r="21" spans="1:4" ht="21" customHeight="1" x14ac:dyDescent="0.25">
      <c r="A21" t="s">
        <v>555</v>
      </c>
      <c r="B21" t="s">
        <v>380</v>
      </c>
      <c r="D21">
        <f>198</f>
        <v>198</v>
      </c>
    </row>
    <row r="22" spans="1:4" ht="21" customHeight="1" x14ac:dyDescent="0.25">
      <c r="A22" t="s">
        <v>555</v>
      </c>
      <c r="B22" t="s">
        <v>551</v>
      </c>
      <c r="D22">
        <f>250</f>
        <v>250</v>
      </c>
    </row>
    <row r="23" spans="1:4" ht="20.25" customHeight="1" x14ac:dyDescent="0.25">
      <c r="A23" t="s">
        <v>555</v>
      </c>
      <c r="B23" t="s">
        <v>276</v>
      </c>
      <c r="D23">
        <f>240</f>
        <v>240</v>
      </c>
    </row>
    <row r="24" spans="1:4" ht="21" customHeight="1" x14ac:dyDescent="0.25">
      <c r="A24" t="s">
        <v>555</v>
      </c>
      <c r="B24" t="s">
        <v>573</v>
      </c>
      <c r="C24">
        <f>20</f>
        <v>20</v>
      </c>
      <c r="D24">
        <f>130-20</f>
        <v>110</v>
      </c>
    </row>
    <row r="25" spans="1:4" ht="18" customHeight="1" x14ac:dyDescent="0.25">
      <c r="A25" t="s">
        <v>555</v>
      </c>
      <c r="B25" t="s">
        <v>264</v>
      </c>
      <c r="D25" s="284">
        <f>212</f>
        <v>212</v>
      </c>
    </row>
    <row r="26" spans="1:4" ht="21.75" customHeight="1" x14ac:dyDescent="0.25">
      <c r="A26" t="s">
        <v>555</v>
      </c>
      <c r="B26" t="s">
        <v>289</v>
      </c>
      <c r="C26">
        <f>96</f>
        <v>96</v>
      </c>
      <c r="D26" s="284"/>
    </row>
    <row r="27" spans="1:4" ht="24.75" customHeight="1" x14ac:dyDescent="0.25">
      <c r="A27" s="161" t="s">
        <v>555</v>
      </c>
      <c r="B27" t="s">
        <v>563</v>
      </c>
      <c r="D27" s="284">
        <f>62+114</f>
        <v>176</v>
      </c>
    </row>
    <row r="28" spans="1:4" ht="21.75" customHeight="1" x14ac:dyDescent="0.25">
      <c r="A28" t="s">
        <v>555</v>
      </c>
      <c r="B28" t="s">
        <v>552</v>
      </c>
      <c r="C28">
        <f>158</f>
        <v>158</v>
      </c>
      <c r="D28" s="284">
        <f>168</f>
        <v>168</v>
      </c>
    </row>
    <row r="29" spans="1:4" ht="21.75" customHeight="1" x14ac:dyDescent="0.25">
      <c r="A29" t="s">
        <v>555</v>
      </c>
      <c r="B29" t="s">
        <v>450</v>
      </c>
      <c r="D29" s="284">
        <f>100</f>
        <v>100</v>
      </c>
    </row>
    <row r="30" spans="1:4" ht="21.75" customHeight="1" x14ac:dyDescent="0.25">
      <c r="A30" t="s">
        <v>555</v>
      </c>
      <c r="B30" t="s">
        <v>389</v>
      </c>
      <c r="D30" s="284">
        <f>34</f>
        <v>34</v>
      </c>
    </row>
    <row r="31" spans="1:4" ht="21.75" customHeight="1" x14ac:dyDescent="0.25">
      <c r="B31" t="s">
        <v>581</v>
      </c>
      <c r="C31">
        <f>10</f>
        <v>10</v>
      </c>
      <c r="D31" s="284">
        <f>12</f>
        <v>12</v>
      </c>
    </row>
    <row r="32" spans="1:4" ht="24" customHeight="1" x14ac:dyDescent="0.25">
      <c r="B32" t="s">
        <v>605</v>
      </c>
      <c r="D32" s="284">
        <f>78</f>
        <v>78</v>
      </c>
    </row>
    <row r="33" spans="2:4" ht="25.5" customHeight="1" x14ac:dyDescent="0.25">
      <c r="B33" t="s">
        <v>553</v>
      </c>
      <c r="C33">
        <f>50</f>
        <v>50</v>
      </c>
      <c r="D33" s="284">
        <f>198-50</f>
        <v>148</v>
      </c>
    </row>
    <row r="34" spans="2:4" ht="26.25" customHeight="1" x14ac:dyDescent="0.25">
      <c r="B34" t="s">
        <v>554</v>
      </c>
      <c r="C34">
        <f>50</f>
        <v>50</v>
      </c>
      <c r="D34" s="284">
        <f>197-50</f>
        <v>147</v>
      </c>
    </row>
    <row r="35" spans="2:4" ht="24.75" customHeight="1" x14ac:dyDescent="0.25">
      <c r="B35" t="s">
        <v>393</v>
      </c>
      <c r="C35">
        <f>50</f>
        <v>50</v>
      </c>
      <c r="D35" s="284">
        <f>94-50</f>
        <v>44</v>
      </c>
    </row>
    <row r="36" spans="2:4" ht="25.5" customHeight="1" x14ac:dyDescent="0.25">
      <c r="B36" t="s">
        <v>391</v>
      </c>
      <c r="D36" s="284">
        <f>230</f>
        <v>230</v>
      </c>
    </row>
    <row r="37" spans="2:4" ht="30" customHeight="1" x14ac:dyDescent="0.25">
      <c r="B37" s="163" t="s">
        <v>329</v>
      </c>
      <c r="C37">
        <f>194</f>
        <v>194</v>
      </c>
      <c r="D37" s="284"/>
    </row>
    <row r="38" spans="2:4" ht="23.25" customHeight="1" x14ac:dyDescent="0.25">
      <c r="B38" t="s">
        <v>580</v>
      </c>
      <c r="C38">
        <f>98</f>
        <v>98</v>
      </c>
      <c r="D38" s="284"/>
    </row>
    <row r="39" spans="2:4" ht="24.75" customHeight="1" x14ac:dyDescent="0.25">
      <c r="B39" t="s">
        <v>579</v>
      </c>
      <c r="C39">
        <f>90</f>
        <v>90</v>
      </c>
      <c r="D39" s="284"/>
    </row>
    <row r="40" spans="2:4" ht="20.25" customHeight="1" x14ac:dyDescent="0.25">
      <c r="B40" s="162" t="s">
        <v>337</v>
      </c>
      <c r="C40">
        <f>198-20</f>
        <v>178</v>
      </c>
      <c r="D40" s="284"/>
    </row>
    <row r="41" spans="2:4" ht="24.75" customHeight="1" x14ac:dyDescent="0.25">
      <c r="B41" s="162" t="s">
        <v>339</v>
      </c>
      <c r="C41">
        <f>100-20-20</f>
        <v>60</v>
      </c>
      <c r="D41" s="284"/>
    </row>
    <row r="42" spans="2:4" ht="25.5" customHeight="1" x14ac:dyDescent="0.25">
      <c r="B42" s="162" t="s">
        <v>415</v>
      </c>
      <c r="C42">
        <f>50</f>
        <v>50</v>
      </c>
      <c r="D42">
        <f>100-50</f>
        <v>50</v>
      </c>
    </row>
    <row r="45" spans="2:4" x14ac:dyDescent="0.25">
      <c r="C45" t="s">
        <v>460</v>
      </c>
      <c r="D45" cm="1">
        <f t="array" ref="D45">SUM(טבלה485[מוכן]+טבלה596[לא מוכן])</f>
        <v>6597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F1F56-86A4-4E3F-B056-11C20F8B4E58}">
  <sheetPr>
    <pageSetUpPr fitToPage="1"/>
  </sheetPr>
  <dimension ref="A1:G53"/>
  <sheetViews>
    <sheetView rightToLeft="1" topLeftCell="A31" zoomScaleNormal="100" workbookViewId="0">
      <selection activeCell="J8" sqref="J8"/>
    </sheetView>
  </sheetViews>
  <sheetFormatPr defaultRowHeight="15" x14ac:dyDescent="0.25"/>
  <cols>
    <col min="2" max="2" width="16.85546875" customWidth="1"/>
    <col min="5" max="5" width="24" customWidth="1"/>
  </cols>
  <sheetData>
    <row r="1" spans="1:7" ht="20.100000000000001" customHeight="1" x14ac:dyDescent="0.25"/>
    <row r="2" spans="1:7" ht="20.100000000000001" customHeight="1" x14ac:dyDescent="0.25"/>
    <row r="3" spans="1:7" ht="20.100000000000001" customHeight="1" x14ac:dyDescent="0.35">
      <c r="A3" s="107"/>
      <c r="B3" s="107"/>
      <c r="C3" s="107"/>
      <c r="D3" s="107" t="s">
        <v>604</v>
      </c>
      <c r="E3" s="107"/>
      <c r="F3" s="107"/>
      <c r="G3" s="107"/>
    </row>
    <row r="4" spans="1:7" ht="20.100000000000001" customHeight="1" x14ac:dyDescent="0.25"/>
    <row r="5" spans="1:7" ht="20.100000000000001" customHeight="1" x14ac:dyDescent="0.25">
      <c r="A5" s="158" t="s">
        <v>0</v>
      </c>
      <c r="B5" s="158" t="s">
        <v>1</v>
      </c>
      <c r="C5" s="158" t="s">
        <v>2</v>
      </c>
      <c r="D5" s="158" t="s">
        <v>3</v>
      </c>
      <c r="E5" s="158" t="s">
        <v>4</v>
      </c>
      <c r="F5" s="158" t="s">
        <v>5</v>
      </c>
      <c r="G5" s="158" t="s">
        <v>6</v>
      </c>
    </row>
    <row r="6" spans="1:7" ht="20.100000000000001" customHeight="1" x14ac:dyDescent="0.25">
      <c r="B6" t="s">
        <v>7</v>
      </c>
      <c r="D6">
        <f>200</f>
        <v>200</v>
      </c>
      <c r="E6" t="s">
        <v>584</v>
      </c>
      <c r="G6">
        <f>30</f>
        <v>30</v>
      </c>
    </row>
    <row r="7" spans="1:7" ht="20.100000000000001" customHeight="1" x14ac:dyDescent="0.25">
      <c r="B7" t="s">
        <v>9</v>
      </c>
      <c r="D7">
        <f>668</f>
        <v>668</v>
      </c>
      <c r="E7" t="s">
        <v>566</v>
      </c>
      <c r="F7">
        <f>208-1</f>
        <v>207</v>
      </c>
    </row>
    <row r="8" spans="1:7" ht="20.100000000000001" customHeight="1" x14ac:dyDescent="0.25">
      <c r="B8" t="s">
        <v>538</v>
      </c>
      <c r="D8">
        <f>94</f>
        <v>94</v>
      </c>
      <c r="E8" t="s">
        <v>561</v>
      </c>
      <c r="F8">
        <f>296-25-20-2-80-20</f>
        <v>149</v>
      </c>
    </row>
    <row r="9" spans="1:7" ht="20.100000000000001" customHeight="1" x14ac:dyDescent="0.25">
      <c r="B9" t="s">
        <v>11</v>
      </c>
      <c r="D9">
        <f>82</f>
        <v>82</v>
      </c>
      <c r="E9" t="s">
        <v>15</v>
      </c>
      <c r="F9">
        <f>157</f>
        <v>157</v>
      </c>
    </row>
    <row r="10" spans="1:7" ht="20.100000000000001" customHeight="1" x14ac:dyDescent="0.25">
      <c r="B10" t="s">
        <v>13</v>
      </c>
      <c r="C10">
        <f>15</f>
        <v>15</v>
      </c>
      <c r="D10">
        <f>400</f>
        <v>400</v>
      </c>
      <c r="E10" t="s">
        <v>17</v>
      </c>
      <c r="G10">
        <f>272</f>
        <v>272</v>
      </c>
    </row>
    <row r="11" spans="1:7" ht="20.100000000000001" customHeight="1" x14ac:dyDescent="0.25">
      <c r="B11" t="s">
        <v>14</v>
      </c>
      <c r="C11">
        <f>17</f>
        <v>17</v>
      </c>
      <c r="D11">
        <f>392</f>
        <v>392</v>
      </c>
      <c r="E11" t="s">
        <v>19</v>
      </c>
      <c r="G11">
        <f>52</f>
        <v>52</v>
      </c>
    </row>
    <row r="12" spans="1:7" ht="20.100000000000001" customHeight="1" x14ac:dyDescent="0.25">
      <c r="B12" t="s">
        <v>16</v>
      </c>
      <c r="D12">
        <f>200</f>
        <v>200</v>
      </c>
      <c r="E12" t="s">
        <v>576</v>
      </c>
      <c r="G12">
        <f>78</f>
        <v>78</v>
      </c>
    </row>
    <row r="13" spans="1:7" ht="20.100000000000001" customHeight="1" x14ac:dyDescent="0.25">
      <c r="B13" t="s">
        <v>18</v>
      </c>
      <c r="C13">
        <f>62-50</f>
        <v>12</v>
      </c>
      <c r="D13">
        <f>200</f>
        <v>200</v>
      </c>
      <c r="E13" t="s">
        <v>21</v>
      </c>
      <c r="G13">
        <f>40</f>
        <v>40</v>
      </c>
    </row>
    <row r="14" spans="1:7" ht="20.100000000000001" customHeight="1" x14ac:dyDescent="0.25">
      <c r="B14" t="s">
        <v>20</v>
      </c>
      <c r="C14">
        <f>40</f>
        <v>40</v>
      </c>
      <c r="D14">
        <f>886</f>
        <v>886</v>
      </c>
      <c r="E14" t="s">
        <v>575</v>
      </c>
      <c r="G14">
        <f>200</f>
        <v>200</v>
      </c>
    </row>
    <row r="15" spans="1:7" ht="20.100000000000001" customHeight="1" x14ac:dyDescent="0.25">
      <c r="B15" t="s">
        <v>583</v>
      </c>
      <c r="D15">
        <f>104</f>
        <v>104</v>
      </c>
      <c r="E15" t="s">
        <v>22</v>
      </c>
      <c r="G15">
        <f>692</f>
        <v>692</v>
      </c>
    </row>
    <row r="16" spans="1:7" ht="20.100000000000001" customHeight="1" x14ac:dyDescent="0.25">
      <c r="B16" t="s">
        <v>565</v>
      </c>
      <c r="D16">
        <f>200+117</f>
        <v>317</v>
      </c>
      <c r="E16" t="s">
        <v>24</v>
      </c>
    </row>
    <row r="17" spans="2:7" ht="20.100000000000001" customHeight="1" x14ac:dyDescent="0.25">
      <c r="B17" t="s">
        <v>23</v>
      </c>
      <c r="C17">
        <f>160</f>
        <v>160</v>
      </c>
      <c r="D17">
        <f>100</f>
        <v>100</v>
      </c>
      <c r="E17" t="s">
        <v>26</v>
      </c>
      <c r="F17">
        <f>22</f>
        <v>22</v>
      </c>
    </row>
    <row r="18" spans="2:7" ht="20.100000000000001" customHeight="1" x14ac:dyDescent="0.25">
      <c r="B18" t="s">
        <v>25</v>
      </c>
      <c r="D18">
        <f>448</f>
        <v>448</v>
      </c>
      <c r="E18" t="s">
        <v>28</v>
      </c>
      <c r="G18">
        <f>212</f>
        <v>212</v>
      </c>
    </row>
    <row r="19" spans="2:7" ht="20.100000000000001" customHeight="1" x14ac:dyDescent="0.25">
      <c r="B19" t="s">
        <v>27</v>
      </c>
      <c r="C19">
        <f>14</f>
        <v>14</v>
      </c>
      <c r="D19">
        <f>180</f>
        <v>180</v>
      </c>
      <c r="E19" t="s">
        <v>29</v>
      </c>
      <c r="G19">
        <f>464</f>
        <v>464</v>
      </c>
    </row>
    <row r="20" spans="2:7" ht="20.100000000000001" customHeight="1" x14ac:dyDescent="0.25">
      <c r="B20" t="s">
        <v>547</v>
      </c>
      <c r="C20">
        <f>26</f>
        <v>26</v>
      </c>
      <c r="D20">
        <f>170</f>
        <v>170</v>
      </c>
      <c r="E20" t="s">
        <v>30</v>
      </c>
      <c r="G20">
        <f>776</f>
        <v>776</v>
      </c>
    </row>
    <row r="21" spans="2:7" ht="20.100000000000001" customHeight="1" x14ac:dyDescent="0.25">
      <c r="B21" t="s">
        <v>593</v>
      </c>
      <c r="C21">
        <f>11</f>
        <v>11</v>
      </c>
      <c r="E21" t="s">
        <v>32</v>
      </c>
      <c r="G21">
        <f>1010</f>
        <v>1010</v>
      </c>
    </row>
    <row r="22" spans="2:7" ht="20.100000000000001" customHeight="1" x14ac:dyDescent="0.25">
      <c r="B22" t="s">
        <v>31</v>
      </c>
      <c r="D22">
        <f>64</f>
        <v>64</v>
      </c>
      <c r="E22" t="s">
        <v>34</v>
      </c>
      <c r="G22">
        <f>707</f>
        <v>707</v>
      </c>
    </row>
    <row r="23" spans="2:7" ht="20.100000000000001" customHeight="1" x14ac:dyDescent="0.25">
      <c r="B23" t="s">
        <v>35</v>
      </c>
      <c r="D23">
        <f>84</f>
        <v>84</v>
      </c>
      <c r="E23" t="s">
        <v>36</v>
      </c>
      <c r="F23">
        <f>43</f>
        <v>43</v>
      </c>
    </row>
    <row r="24" spans="2:7" ht="20.100000000000001" customHeight="1" x14ac:dyDescent="0.25">
      <c r="B24" t="s">
        <v>33</v>
      </c>
      <c r="C24">
        <f>200</f>
        <v>200</v>
      </c>
      <c r="E24" t="s">
        <v>37</v>
      </c>
      <c r="F24">
        <f>100</f>
        <v>100</v>
      </c>
      <c r="G24">
        <f>50</f>
        <v>50</v>
      </c>
    </row>
    <row r="25" spans="2:7" ht="20.100000000000001" customHeight="1" x14ac:dyDescent="0.25">
      <c r="B25" t="s">
        <v>595</v>
      </c>
      <c r="D25">
        <f>200</f>
        <v>200</v>
      </c>
      <c r="E25" t="s">
        <v>38</v>
      </c>
      <c r="F25">
        <f>43</f>
        <v>43</v>
      </c>
      <c r="G25">
        <f>419</f>
        <v>419</v>
      </c>
    </row>
    <row r="26" spans="2:7" ht="20.100000000000001" customHeight="1" x14ac:dyDescent="0.25">
      <c r="B26" t="s">
        <v>39</v>
      </c>
      <c r="D26">
        <f>274</f>
        <v>274</v>
      </c>
      <c r="E26" t="s">
        <v>40</v>
      </c>
      <c r="G26">
        <f>94</f>
        <v>94</v>
      </c>
    </row>
    <row r="27" spans="2:7" ht="20.100000000000001" customHeight="1" x14ac:dyDescent="0.25">
      <c r="B27" t="s">
        <v>41</v>
      </c>
      <c r="C27">
        <f>26</f>
        <v>26</v>
      </c>
      <c r="E27" t="s">
        <v>42</v>
      </c>
      <c r="G27">
        <f>34</f>
        <v>34</v>
      </c>
    </row>
    <row r="28" spans="2:7" ht="20.100000000000001" customHeight="1" x14ac:dyDescent="0.25">
      <c r="B28" t="s">
        <v>43</v>
      </c>
      <c r="C28">
        <f>10</f>
        <v>10</v>
      </c>
      <c r="D28">
        <f>680</f>
        <v>680</v>
      </c>
      <c r="E28" t="s">
        <v>44</v>
      </c>
      <c r="G28">
        <f>154</f>
        <v>154</v>
      </c>
    </row>
    <row r="29" spans="2:7" ht="20.100000000000001" customHeight="1" x14ac:dyDescent="0.25">
      <c r="B29" t="s">
        <v>45</v>
      </c>
      <c r="C29">
        <f>114</f>
        <v>114</v>
      </c>
      <c r="E29" t="s">
        <v>47</v>
      </c>
      <c r="G29">
        <f>328</f>
        <v>328</v>
      </c>
    </row>
    <row r="30" spans="2:7" ht="20.100000000000001" customHeight="1" x14ac:dyDescent="0.25">
      <c r="B30" t="s">
        <v>594</v>
      </c>
      <c r="D30">
        <f>59</f>
        <v>59</v>
      </c>
      <c r="E30" t="s">
        <v>49</v>
      </c>
      <c r="G30">
        <f>98</f>
        <v>98</v>
      </c>
    </row>
    <row r="31" spans="2:7" ht="20.100000000000001" customHeight="1" x14ac:dyDescent="0.25">
      <c r="B31" t="s">
        <v>46</v>
      </c>
      <c r="C31">
        <f>200</f>
        <v>200</v>
      </c>
      <c r="D31">
        <f>20</f>
        <v>20</v>
      </c>
      <c r="E31" t="s">
        <v>52</v>
      </c>
      <c r="F31">
        <f>108</f>
        <v>108</v>
      </c>
    </row>
    <row r="32" spans="2:7" ht="20.100000000000001" customHeight="1" x14ac:dyDescent="0.25">
      <c r="B32" t="s">
        <v>540</v>
      </c>
      <c r="C32">
        <f>88</f>
        <v>88</v>
      </c>
      <c r="E32" t="s">
        <v>54</v>
      </c>
      <c r="F32">
        <f>18</f>
        <v>18</v>
      </c>
      <c r="G32">
        <f>182</f>
        <v>182</v>
      </c>
    </row>
    <row r="33" spans="2:7" ht="20.100000000000001" customHeight="1" x14ac:dyDescent="0.25">
      <c r="B33" t="s">
        <v>48</v>
      </c>
      <c r="D33">
        <f>20</f>
        <v>20</v>
      </c>
      <c r="E33" t="s">
        <v>539</v>
      </c>
      <c r="F33">
        <f>46</f>
        <v>46</v>
      </c>
      <c r="G33">
        <f>198</f>
        <v>198</v>
      </c>
    </row>
    <row r="34" spans="2:7" ht="20.100000000000001" customHeight="1" x14ac:dyDescent="0.25">
      <c r="B34" t="s">
        <v>50</v>
      </c>
      <c r="C34">
        <f>172</f>
        <v>172</v>
      </c>
      <c r="D34">
        <f>390</f>
        <v>390</v>
      </c>
      <c r="E34" t="s">
        <v>56</v>
      </c>
      <c r="G34">
        <f>278-3</f>
        <v>275</v>
      </c>
    </row>
    <row r="35" spans="2:7" ht="20.100000000000001" customHeight="1" x14ac:dyDescent="0.25">
      <c r="B35" t="s">
        <v>51</v>
      </c>
      <c r="C35">
        <f>20</f>
        <v>20</v>
      </c>
      <c r="D35">
        <f>192-20</f>
        <v>172</v>
      </c>
      <c r="E35" t="s">
        <v>59</v>
      </c>
      <c r="G35">
        <f>200</f>
        <v>200</v>
      </c>
    </row>
    <row r="36" spans="2:7" ht="20.100000000000001" customHeight="1" x14ac:dyDescent="0.25">
      <c r="B36" t="s">
        <v>53</v>
      </c>
      <c r="D36">
        <f>1004</f>
        <v>1004</v>
      </c>
      <c r="E36" t="s">
        <v>582</v>
      </c>
      <c r="G36">
        <f>31</f>
        <v>31</v>
      </c>
    </row>
    <row r="37" spans="2:7" ht="20.100000000000001" customHeight="1" x14ac:dyDescent="0.25">
      <c r="B37" t="s">
        <v>541</v>
      </c>
      <c r="D37">
        <f>110</f>
        <v>110</v>
      </c>
      <c r="E37" t="s">
        <v>562</v>
      </c>
      <c r="F37">
        <f>176</f>
        <v>176</v>
      </c>
      <c r="G37">
        <f>40</f>
        <v>40</v>
      </c>
    </row>
    <row r="38" spans="2:7" ht="20.100000000000001" customHeight="1" x14ac:dyDescent="0.25">
      <c r="B38" t="s">
        <v>55</v>
      </c>
      <c r="C38">
        <f>1960</f>
        <v>1960</v>
      </c>
      <c r="D38">
        <f>1700</f>
        <v>1700</v>
      </c>
      <c r="E38" t="s">
        <v>546</v>
      </c>
      <c r="F38">
        <f>27</f>
        <v>27</v>
      </c>
    </row>
    <row r="39" spans="2:7" ht="20.100000000000001" customHeight="1" x14ac:dyDescent="0.25">
      <c r="B39" t="s">
        <v>57</v>
      </c>
      <c r="D39">
        <f>1532</f>
        <v>1532</v>
      </c>
      <c r="E39" t="s">
        <v>60</v>
      </c>
      <c r="G39">
        <f>200</f>
        <v>200</v>
      </c>
    </row>
    <row r="40" spans="2:7" ht="20.100000000000001" customHeight="1" x14ac:dyDescent="0.25">
      <c r="B40" t="s">
        <v>58</v>
      </c>
      <c r="E40" t="s">
        <v>567</v>
      </c>
      <c r="F40">
        <f>550</f>
        <v>550</v>
      </c>
    </row>
    <row r="41" spans="2:7" ht="20.100000000000001" customHeight="1" x14ac:dyDescent="0.25">
      <c r="B41" t="s">
        <v>61</v>
      </c>
      <c r="C41">
        <f>720</f>
        <v>720</v>
      </c>
      <c r="D41">
        <f>540</f>
        <v>540</v>
      </c>
      <c r="E41" t="s">
        <v>568</v>
      </c>
      <c r="G41">
        <f>420</f>
        <v>420</v>
      </c>
    </row>
    <row r="42" spans="2:7" ht="20.100000000000001" customHeight="1" x14ac:dyDescent="0.25">
      <c r="B42" t="s">
        <v>63</v>
      </c>
      <c r="D42">
        <f>318</f>
        <v>318</v>
      </c>
      <c r="E42" t="s">
        <v>62</v>
      </c>
      <c r="F42">
        <f>16</f>
        <v>16</v>
      </c>
      <c r="G42">
        <f>740</f>
        <v>740</v>
      </c>
    </row>
    <row r="43" spans="2:7" ht="20.100000000000001" customHeight="1" x14ac:dyDescent="0.25">
      <c r="B43" t="s">
        <v>65</v>
      </c>
      <c r="D43">
        <f>444</f>
        <v>444</v>
      </c>
      <c r="E43" t="s">
        <v>64</v>
      </c>
      <c r="F43">
        <f>128</f>
        <v>128</v>
      </c>
      <c r="G43">
        <f>292</f>
        <v>292</v>
      </c>
    </row>
    <row r="44" spans="2:7" ht="20.100000000000001" customHeight="1" x14ac:dyDescent="0.25">
      <c r="B44" t="s">
        <v>67</v>
      </c>
      <c r="D44">
        <f>226</f>
        <v>226</v>
      </c>
      <c r="E44" t="s">
        <v>66</v>
      </c>
      <c r="F44">
        <f>19</f>
        <v>19</v>
      </c>
      <c r="G44">
        <f>92</f>
        <v>92</v>
      </c>
    </row>
    <row r="45" spans="2:7" ht="20.100000000000001" customHeight="1" x14ac:dyDescent="0.25">
      <c r="B45" t="s">
        <v>69</v>
      </c>
      <c r="D45">
        <f>132</f>
        <v>132</v>
      </c>
      <c r="E45" t="s">
        <v>68</v>
      </c>
      <c r="G45">
        <f>290</f>
        <v>290</v>
      </c>
    </row>
    <row r="46" spans="2:7" x14ac:dyDescent="0.25">
      <c r="B46" t="s">
        <v>70</v>
      </c>
      <c r="C46">
        <f>44</f>
        <v>44</v>
      </c>
      <c r="D46">
        <f>646-44</f>
        <v>602</v>
      </c>
      <c r="E46" t="s">
        <v>71</v>
      </c>
      <c r="F46">
        <f>222</f>
        <v>222</v>
      </c>
    </row>
    <row r="47" spans="2:7" x14ac:dyDescent="0.25">
      <c r="B47" t="s">
        <v>72</v>
      </c>
      <c r="D47">
        <f>196</f>
        <v>196</v>
      </c>
      <c r="E47" t="s">
        <v>73</v>
      </c>
      <c r="F47">
        <f>50</f>
        <v>50</v>
      </c>
    </row>
    <row r="48" spans="2:7" x14ac:dyDescent="0.25">
      <c r="B48" t="s">
        <v>74</v>
      </c>
      <c r="D48">
        <f>200</f>
        <v>200</v>
      </c>
      <c r="E48" t="s">
        <v>75</v>
      </c>
      <c r="F48">
        <f>122</f>
        <v>122</v>
      </c>
    </row>
    <row r="49" spans="2:7" x14ac:dyDescent="0.25">
      <c r="B49" t="s">
        <v>8</v>
      </c>
      <c r="D49">
        <f>303</f>
        <v>303</v>
      </c>
      <c r="E49" t="s">
        <v>76</v>
      </c>
      <c r="G49">
        <f>60</f>
        <v>60</v>
      </c>
    </row>
    <row r="50" spans="2:7" x14ac:dyDescent="0.25">
      <c r="B50" t="s">
        <v>10</v>
      </c>
      <c r="D50">
        <f>56</f>
        <v>56</v>
      </c>
      <c r="E50" t="s">
        <v>77</v>
      </c>
      <c r="F50">
        <f>51</f>
        <v>51</v>
      </c>
    </row>
    <row r="51" spans="2:7" x14ac:dyDescent="0.25">
      <c r="B51" t="s">
        <v>12</v>
      </c>
      <c r="D51">
        <f>800-130</f>
        <v>670</v>
      </c>
    </row>
    <row r="53" spans="2:7" x14ac:dyDescent="0.25">
      <c r="E53" cm="1">
        <f t="array" ref="E53:F53">SUM(C6:D50,F6:G50)-D42:D42-C40:D40-C24:D24-F22:G22</f>
        <v>28082</v>
      </c>
      <c r="F53">
        <v>27575</v>
      </c>
    </row>
  </sheetData>
  <pageMargins left="0.25" right="0.25" top="0.75" bottom="0.75" header="0.3" footer="0.3"/>
  <pageSetup paperSize="9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14"/>
  <sheetViews>
    <sheetView rightToLeft="1" zoomScale="90" zoomScaleNormal="90" workbookViewId="0">
      <pane xSplit="2" ySplit="2" topLeftCell="C150" activePane="bottomRight" state="frozen"/>
      <selection pane="topRight" activeCell="C2" sqref="C2"/>
      <selection pane="bottomLeft" activeCell="A6" sqref="A6"/>
      <selection pane="bottomRight" activeCell="D160" sqref="D160"/>
    </sheetView>
  </sheetViews>
  <sheetFormatPr defaultColWidth="21.85546875" defaultRowHeight="18.75" x14ac:dyDescent="0.25"/>
  <cols>
    <col min="1" max="1" width="84.85546875" style="7" hidden="1" customWidth="1"/>
    <col min="2" max="2" width="25" style="7" customWidth="1"/>
    <col min="3" max="3" width="10.85546875" style="7" customWidth="1"/>
    <col min="4" max="4" width="11.28515625" style="7" customWidth="1"/>
    <col min="5" max="5" width="10.42578125" style="7" customWidth="1"/>
    <col min="6" max="6" width="10.140625" style="7" customWidth="1"/>
    <col min="7" max="7" width="9.7109375" style="7" customWidth="1"/>
    <col min="8" max="8" width="10" style="7" customWidth="1"/>
    <col min="9" max="9" width="10.42578125" style="116" customWidth="1"/>
    <col min="10" max="10" width="0.140625" style="7" customWidth="1"/>
    <col min="11" max="11" width="11.42578125" style="7" customWidth="1"/>
    <col min="12" max="14" width="0" style="7" hidden="1" customWidth="1"/>
    <col min="15" max="15" width="21.85546875" style="7" bestFit="1"/>
    <col min="16" max="17" width="21.85546875" style="7"/>
    <col min="18" max="22" width="21.85546875" style="7" bestFit="1"/>
    <col min="23" max="16384" width="21.85546875" style="7"/>
  </cols>
  <sheetData>
    <row r="1" spans="1:17" ht="21.75" thickBot="1" x14ac:dyDescent="0.3">
      <c r="A1" s="45"/>
      <c r="B1" s="46"/>
      <c r="C1" s="250" t="s">
        <v>78</v>
      </c>
      <c r="D1" s="251"/>
      <c r="E1" s="252"/>
      <c r="F1" s="250" t="s">
        <v>79</v>
      </c>
      <c r="G1" s="250"/>
      <c r="H1" s="250"/>
      <c r="I1" s="250" t="s">
        <v>80</v>
      </c>
      <c r="J1" s="250"/>
      <c r="K1" s="145"/>
      <c r="M1" s="144"/>
    </row>
    <row r="2" spans="1:17" s="9" customFormat="1" ht="38.25" customHeight="1" thickBot="1" x14ac:dyDescent="0.3">
      <c r="A2" s="47" t="s">
        <v>81</v>
      </c>
      <c r="B2" s="8" t="s">
        <v>82</v>
      </c>
      <c r="C2" s="223" t="s">
        <v>83</v>
      </c>
      <c r="D2" s="206" t="s">
        <v>84</v>
      </c>
      <c r="E2" s="206" t="s">
        <v>85</v>
      </c>
      <c r="F2" s="111" t="s">
        <v>86</v>
      </c>
      <c r="G2" s="171" t="s">
        <v>84</v>
      </c>
      <c r="H2" s="171" t="s">
        <v>85</v>
      </c>
      <c r="I2" s="261" t="s">
        <v>87</v>
      </c>
      <c r="J2" s="262"/>
      <c r="K2" s="143" t="s">
        <v>88</v>
      </c>
      <c r="L2" s="142" t="s">
        <v>89</v>
      </c>
      <c r="M2" s="141" t="s">
        <v>90</v>
      </c>
      <c r="N2" s="140" t="s">
        <v>91</v>
      </c>
    </row>
    <row r="3" spans="1:17" ht="19.5" thickBot="1" x14ac:dyDescent="0.3">
      <c r="A3" s="153" t="s">
        <v>92</v>
      </c>
      <c r="B3" s="219" t="s">
        <v>93</v>
      </c>
      <c r="C3" s="152">
        <f>28*2+28*4.5+28*30-45</f>
        <v>977</v>
      </c>
      <c r="D3" s="150">
        <f>28*6+28*41+28*8</f>
        <v>1540</v>
      </c>
      <c r="E3" s="226">
        <f>28*34</f>
        <v>952</v>
      </c>
      <c r="F3" s="152">
        <f>30</f>
        <v>30</v>
      </c>
      <c r="G3" s="233"/>
      <c r="H3" s="133">
        <f>42*4+40*4</f>
        <v>328</v>
      </c>
      <c r="I3" s="253">
        <f>1520</f>
        <v>1520</v>
      </c>
      <c r="J3" s="254"/>
      <c r="K3" s="239">
        <f t="shared" ref="K3:K13" si="0">SUM(C3:H3)</f>
        <v>3827</v>
      </c>
      <c r="L3" s="137">
        <v>3000</v>
      </c>
      <c r="M3" s="151">
        <f>L3-N3</f>
        <v>2500</v>
      </c>
      <c r="N3" s="135">
        <v>500</v>
      </c>
      <c r="Q3" s="128"/>
    </row>
    <row r="4" spans="1:17" ht="19.5" thickBot="1" x14ac:dyDescent="0.3">
      <c r="A4" s="109" t="s">
        <v>94</v>
      </c>
      <c r="B4" s="108" t="s">
        <v>95</v>
      </c>
      <c r="C4" s="64"/>
      <c r="D4" s="204">
        <f>28*19+28*14+28*24</f>
        <v>1596</v>
      </c>
      <c r="E4" s="196">
        <f>28*102+28*58+28*24+28*24</f>
        <v>5824</v>
      </c>
      <c r="F4" s="64">
        <f>17*8+26*8+12*8+20*8-12</f>
        <v>588</v>
      </c>
      <c r="G4" s="231"/>
      <c r="H4" s="133"/>
      <c r="I4" s="253"/>
      <c r="J4" s="254"/>
      <c r="K4" s="239">
        <f t="shared" si="0"/>
        <v>8008</v>
      </c>
      <c r="L4" s="137">
        <v>20000</v>
      </c>
      <c r="M4" s="136">
        <f>L4-N4</f>
        <v>10000</v>
      </c>
      <c r="N4" s="135">
        <v>10000</v>
      </c>
    </row>
    <row r="5" spans="1:17" ht="19.5" thickBot="1" x14ac:dyDescent="0.3">
      <c r="A5" s="56" t="s">
        <v>96</v>
      </c>
      <c r="B5" s="55" t="s">
        <v>97</v>
      </c>
      <c r="C5" s="64">
        <f>28*31+28*25+28*41+28*35+28*19+28*3.5+28-300-50</f>
        <v>4004</v>
      </c>
      <c r="D5" s="198">
        <f>28*43+28*5+28*3</f>
        <v>1428</v>
      </c>
      <c r="E5" s="196">
        <f>28*54</f>
        <v>1512</v>
      </c>
      <c r="F5" s="64">
        <f>248*4+217*4+84*4-10</f>
        <v>2186</v>
      </c>
      <c r="G5" s="139">
        <f>252*4</f>
        <v>1008</v>
      </c>
      <c r="H5" s="138"/>
      <c r="I5" s="253">
        <f>3080</f>
        <v>3080</v>
      </c>
      <c r="J5" s="254"/>
      <c r="K5" s="239">
        <f t="shared" si="0"/>
        <v>10138</v>
      </c>
      <c r="L5" s="137">
        <v>5000</v>
      </c>
      <c r="M5" s="136">
        <f>L5-N5</f>
        <v>3500</v>
      </c>
      <c r="N5" s="135">
        <v>1500</v>
      </c>
      <c r="Q5" s="129"/>
    </row>
    <row r="6" spans="1:17" ht="19.5" thickBot="1" x14ac:dyDescent="0.3">
      <c r="A6" s="56" t="s">
        <v>98</v>
      </c>
      <c r="B6" s="55" t="s">
        <v>99</v>
      </c>
      <c r="C6" s="64">
        <f>28*11</f>
        <v>308</v>
      </c>
      <c r="D6" s="204">
        <f>28*14</f>
        <v>392</v>
      </c>
      <c r="E6" s="196">
        <f>28*82</f>
        <v>2296</v>
      </c>
      <c r="F6" s="225">
        <f>42*4+14*4+109*4+84*4+35*4</f>
        <v>1136</v>
      </c>
      <c r="G6" s="213"/>
      <c r="H6" s="130"/>
      <c r="I6" s="253">
        <f>7700</f>
        <v>7700</v>
      </c>
      <c r="J6" s="254"/>
      <c r="K6" s="239">
        <f t="shared" si="0"/>
        <v>4132</v>
      </c>
      <c r="L6" s="137">
        <v>30000</v>
      </c>
      <c r="M6" s="136">
        <f>L6-N6</f>
        <v>23000</v>
      </c>
      <c r="N6" s="135">
        <v>7000</v>
      </c>
    </row>
    <row r="7" spans="1:17" ht="19.5" thickBot="1" x14ac:dyDescent="0.3">
      <c r="A7" s="56" t="s">
        <v>100</v>
      </c>
      <c r="B7" s="55" t="s">
        <v>101</v>
      </c>
      <c r="C7" s="64">
        <f>28+28*18.5+28+10</f>
        <v>584</v>
      </c>
      <c r="D7" s="235">
        <f>28*6</f>
        <v>168</v>
      </c>
      <c r="E7" s="196">
        <f>28*15</f>
        <v>420</v>
      </c>
      <c r="F7" s="64">
        <f>35*4+49*4+54*4</f>
        <v>552</v>
      </c>
      <c r="G7" s="242"/>
      <c r="H7" s="133"/>
      <c r="I7" s="253"/>
      <c r="J7" s="254"/>
      <c r="K7" s="239">
        <f t="shared" si="0"/>
        <v>1724</v>
      </c>
      <c r="L7" s="137">
        <v>5000</v>
      </c>
      <c r="M7" s="136">
        <f>L7-N7</f>
        <v>3500</v>
      </c>
      <c r="N7" s="135">
        <v>1500</v>
      </c>
    </row>
    <row r="8" spans="1:17" ht="19.5" thickBot="1" x14ac:dyDescent="0.3">
      <c r="A8" s="109"/>
      <c r="B8" s="108" t="s">
        <v>102</v>
      </c>
      <c r="C8" s="64">
        <f>28*3+28*50-50-100</f>
        <v>1334</v>
      </c>
      <c r="D8" s="235"/>
      <c r="E8" s="196">
        <f>28*44</f>
        <v>1232</v>
      </c>
      <c r="F8" s="64">
        <f>30*4+42*4+508</f>
        <v>796</v>
      </c>
      <c r="G8" s="134">
        <f>127*4</f>
        <v>508</v>
      </c>
      <c r="H8" s="133"/>
      <c r="I8" s="253">
        <f>1040</f>
        <v>1040</v>
      </c>
      <c r="J8" s="254"/>
      <c r="K8" s="239">
        <f t="shared" si="0"/>
        <v>3870</v>
      </c>
      <c r="L8" s="137"/>
      <c r="M8" s="136"/>
      <c r="N8" s="135"/>
    </row>
    <row r="9" spans="1:17" ht="19.5" thickBot="1" x14ac:dyDescent="0.3">
      <c r="A9" s="164"/>
      <c r="B9" s="108" t="s">
        <v>577</v>
      </c>
      <c r="C9" s="97">
        <f>50+28*11</f>
        <v>358</v>
      </c>
      <c r="D9" s="139">
        <f>28*20</f>
        <v>560</v>
      </c>
      <c r="E9" s="196"/>
      <c r="F9" s="64"/>
      <c r="G9" s="134"/>
      <c r="H9" s="133"/>
      <c r="I9" s="253"/>
      <c r="J9" s="254"/>
      <c r="K9" s="239">
        <f t="shared" si="0"/>
        <v>918</v>
      </c>
      <c r="L9" s="137"/>
      <c r="M9" s="136"/>
      <c r="N9" s="135"/>
    </row>
    <row r="10" spans="1:17" ht="19.5" thickBot="1" x14ac:dyDescent="0.3">
      <c r="A10" s="164"/>
      <c r="B10" s="108" t="s">
        <v>590</v>
      </c>
      <c r="C10" s="64"/>
      <c r="D10" s="235"/>
      <c r="E10" s="196">
        <f>28*13+28*29</f>
        <v>1176</v>
      </c>
      <c r="F10" s="64"/>
      <c r="G10" s="134"/>
      <c r="H10" s="133"/>
      <c r="I10" s="178"/>
      <c r="J10" s="240"/>
      <c r="K10" s="239"/>
      <c r="L10" s="137"/>
      <c r="M10" s="136"/>
      <c r="N10" s="135"/>
    </row>
    <row r="11" spans="1:17" ht="19.5" thickBot="1" x14ac:dyDescent="0.3">
      <c r="A11" s="164"/>
      <c r="B11" s="108" t="s">
        <v>601</v>
      </c>
      <c r="C11" s="64"/>
      <c r="D11" s="235"/>
      <c r="E11" s="196"/>
      <c r="F11" s="64"/>
      <c r="G11" s="134"/>
      <c r="H11" s="133"/>
      <c r="I11" s="178"/>
      <c r="J11" s="240"/>
      <c r="K11" s="239"/>
      <c r="L11" s="137"/>
      <c r="M11" s="136"/>
      <c r="N11" s="135"/>
    </row>
    <row r="12" spans="1:17" ht="19.5" thickBot="1" x14ac:dyDescent="0.3">
      <c r="A12" s="56"/>
      <c r="B12" s="55" t="s">
        <v>104</v>
      </c>
      <c r="C12" s="64">
        <f>28*11+28+20</f>
        <v>356</v>
      </c>
      <c r="D12" s="235"/>
      <c r="E12" s="196">
        <f>28*9+28+12</f>
        <v>292</v>
      </c>
      <c r="F12" s="64"/>
      <c r="G12" s="134">
        <f>508</f>
        <v>508</v>
      </c>
      <c r="H12" s="133">
        <f>117*4</f>
        <v>468</v>
      </c>
      <c r="I12" s="253">
        <f>3120</f>
        <v>3120</v>
      </c>
      <c r="J12" s="254"/>
      <c r="K12" s="239">
        <f t="shared" si="0"/>
        <v>1624</v>
      </c>
      <c r="L12" s="137"/>
      <c r="M12" s="136"/>
      <c r="N12" s="135"/>
      <c r="Q12" s="129"/>
    </row>
    <row r="13" spans="1:17" ht="19.5" thickBot="1" x14ac:dyDescent="0.3">
      <c r="A13" s="56" t="s">
        <v>105</v>
      </c>
      <c r="B13" s="55" t="s">
        <v>106</v>
      </c>
      <c r="C13" s="64">
        <f>36*16+232*16+83*16+137-600</f>
        <v>5153</v>
      </c>
      <c r="D13" s="204">
        <f>84*16+26*16+53*16+60*16</f>
        <v>3568</v>
      </c>
      <c r="E13" s="205"/>
      <c r="F13" s="67"/>
      <c r="G13" s="134">
        <f>281*4+14*4</f>
        <v>1180</v>
      </c>
      <c r="H13" s="132">
        <f>203*4</f>
        <v>812</v>
      </c>
      <c r="I13" s="253"/>
      <c r="J13" s="254"/>
      <c r="K13" s="239">
        <f t="shared" si="0"/>
        <v>10713</v>
      </c>
      <c r="L13" s="137">
        <v>5000</v>
      </c>
      <c r="M13" s="131">
        <f>L13-N13</f>
        <v>0</v>
      </c>
      <c r="N13" s="135">
        <v>5000</v>
      </c>
    </row>
    <row r="14" spans="1:17" ht="19.5" thickBot="1" x14ac:dyDescent="0.3">
      <c r="A14" s="56"/>
      <c r="B14" s="55" t="s">
        <v>574</v>
      </c>
      <c r="C14" s="64"/>
      <c r="D14" s="208">
        <f>28*25+28*3-90</f>
        <v>694</v>
      </c>
      <c r="E14" s="205">
        <f>28*126+28*9</f>
        <v>3780</v>
      </c>
      <c r="F14" s="67"/>
      <c r="G14" s="134"/>
      <c r="H14" s="132"/>
      <c r="I14" s="178"/>
      <c r="J14" s="240"/>
      <c r="K14" s="239"/>
      <c r="L14" s="137"/>
      <c r="M14" s="131"/>
      <c r="N14" s="135"/>
    </row>
    <row r="15" spans="1:17" ht="19.5" thickBot="1" x14ac:dyDescent="0.3">
      <c r="A15" s="164" t="s">
        <v>107</v>
      </c>
      <c r="B15" s="220" t="s">
        <v>108</v>
      </c>
      <c r="C15" s="64"/>
      <c r="D15" s="204">
        <f>28+20</f>
        <v>48</v>
      </c>
      <c r="E15" s="196"/>
      <c r="F15" s="64"/>
      <c r="G15" s="134"/>
      <c r="H15" s="133"/>
      <c r="I15" s="253"/>
      <c r="J15" s="254"/>
      <c r="K15" s="239">
        <f t="shared" ref="K15:K20" si="1">SUM(C15:H15)</f>
        <v>48</v>
      </c>
      <c r="L15" s="137">
        <v>2000</v>
      </c>
      <c r="M15" s="131">
        <f>L15-N15</f>
        <v>0</v>
      </c>
      <c r="N15" s="135">
        <v>2000</v>
      </c>
    </row>
    <row r="16" spans="1:17" ht="19.5" thickBot="1" x14ac:dyDescent="0.3">
      <c r="A16" s="164" t="s">
        <v>109</v>
      </c>
      <c r="B16" s="166" t="s">
        <v>110</v>
      </c>
      <c r="C16" s="97">
        <f>28*3+28-25-10-20</f>
        <v>57</v>
      </c>
      <c r="D16" s="198">
        <f>30*27+30*3+28*2</f>
        <v>956</v>
      </c>
      <c r="E16" s="205"/>
      <c r="F16" s="64"/>
      <c r="G16" s="134"/>
      <c r="H16" s="133"/>
      <c r="I16" s="253">
        <f>750</f>
        <v>750</v>
      </c>
      <c r="J16" s="254"/>
      <c r="K16" s="239">
        <f t="shared" si="1"/>
        <v>1013</v>
      </c>
      <c r="L16" s="137">
        <v>7000</v>
      </c>
      <c r="M16" s="136">
        <f>L16-N16</f>
        <v>5000</v>
      </c>
      <c r="N16" s="135">
        <v>2000</v>
      </c>
    </row>
    <row r="17" spans="1:18" ht="19.5" thickBot="1" x14ac:dyDescent="0.3">
      <c r="A17" s="56" t="s">
        <v>111</v>
      </c>
      <c r="B17" s="55" t="s">
        <v>112</v>
      </c>
      <c r="C17" s="64"/>
      <c r="D17" s="204">
        <f>28*35+28*74-30</f>
        <v>3022</v>
      </c>
      <c r="E17" s="196">
        <f>28*23.5+28*45</f>
        <v>1918</v>
      </c>
      <c r="F17" s="60"/>
      <c r="G17" s="134"/>
      <c r="H17" s="133">
        <f>45*4+49*4+78*4</f>
        <v>688</v>
      </c>
      <c r="I17" s="253">
        <f>260</f>
        <v>260</v>
      </c>
      <c r="J17" s="254"/>
      <c r="K17" s="239">
        <f t="shared" si="1"/>
        <v>5628</v>
      </c>
      <c r="L17" s="137">
        <v>5000</v>
      </c>
      <c r="M17" s="136">
        <f>L17-N17</f>
        <v>4500</v>
      </c>
      <c r="N17" s="135">
        <v>500</v>
      </c>
    </row>
    <row r="18" spans="1:18" ht="19.5" thickBot="1" x14ac:dyDescent="0.3">
      <c r="A18" s="56" t="s">
        <v>113</v>
      </c>
      <c r="B18" s="55" t="s">
        <v>114</v>
      </c>
      <c r="C18" s="64">
        <f>28*52+28*6-775-100</f>
        <v>749</v>
      </c>
      <c r="D18" s="204">
        <f>28*28+28*3</f>
        <v>868</v>
      </c>
      <c r="E18" s="149">
        <f>28*43+28*42</f>
        <v>2380</v>
      </c>
      <c r="F18" s="64">
        <f>7*8+12*8+56*8+38*8+135*8+77*4</f>
        <v>2292</v>
      </c>
      <c r="G18" s="134"/>
      <c r="H18" s="133">
        <f>33*8+34*8+30*8</f>
        <v>776</v>
      </c>
      <c r="I18" s="253"/>
      <c r="J18" s="254"/>
      <c r="K18" s="239">
        <f t="shared" si="1"/>
        <v>7065</v>
      </c>
      <c r="L18" s="137">
        <v>3000</v>
      </c>
      <c r="M18" s="131">
        <v>0</v>
      </c>
      <c r="N18" s="135">
        <v>3000</v>
      </c>
      <c r="R18" s="7" t="s">
        <v>115</v>
      </c>
    </row>
    <row r="19" spans="1:18" ht="19.5" thickBot="1" x14ac:dyDescent="0.3">
      <c r="A19" s="56"/>
      <c r="B19" s="55" t="s">
        <v>116</v>
      </c>
      <c r="C19" s="64">
        <f>28*16+28*35+28*10-775-300-50</f>
        <v>583</v>
      </c>
      <c r="D19" s="204">
        <f>28*21+28*16</f>
        <v>1036</v>
      </c>
      <c r="E19" s="149">
        <f>28*57</f>
        <v>1596</v>
      </c>
      <c r="F19" s="64">
        <f>73*8+94*8</f>
        <v>1336</v>
      </c>
      <c r="G19" s="134"/>
      <c r="H19" s="133">
        <f>63*8</f>
        <v>504</v>
      </c>
      <c r="I19" s="253"/>
      <c r="J19" s="254"/>
      <c r="K19" s="239">
        <f t="shared" si="1"/>
        <v>5055</v>
      </c>
      <c r="L19" s="137"/>
      <c r="M19" s="131"/>
      <c r="N19" s="135"/>
    </row>
    <row r="20" spans="1:18" ht="19.5" thickBot="1" x14ac:dyDescent="0.3">
      <c r="A20" s="164" t="s">
        <v>117</v>
      </c>
      <c r="B20" s="166" t="s">
        <v>118</v>
      </c>
      <c r="C20" s="64"/>
      <c r="D20" s="204"/>
      <c r="E20" s="149"/>
      <c r="F20" s="62"/>
      <c r="G20" s="134"/>
      <c r="H20" s="133"/>
      <c r="I20" s="253"/>
      <c r="J20" s="254"/>
      <c r="K20" s="239">
        <f t="shared" si="1"/>
        <v>0</v>
      </c>
      <c r="L20" s="137">
        <v>7000</v>
      </c>
      <c r="M20" s="136">
        <f>L20-N20</f>
        <v>4000</v>
      </c>
      <c r="N20" s="135">
        <v>3000</v>
      </c>
    </row>
    <row r="21" spans="1:18" ht="19.5" thickBot="1" x14ac:dyDescent="0.3">
      <c r="A21" s="164"/>
      <c r="B21" s="182" t="s">
        <v>571</v>
      </c>
      <c r="C21" s="64"/>
      <c r="D21" s="204"/>
      <c r="E21" s="245"/>
      <c r="F21" s="244"/>
      <c r="G21" s="134">
        <f>333</f>
        <v>333</v>
      </c>
      <c r="H21" s="133"/>
      <c r="I21" s="178"/>
      <c r="J21" s="240"/>
      <c r="K21" s="239"/>
      <c r="L21" s="137"/>
      <c r="M21" s="136"/>
      <c r="N21" s="135"/>
    </row>
    <row r="22" spans="1:18" ht="19.5" thickBot="1" x14ac:dyDescent="0.3">
      <c r="A22" s="164"/>
      <c r="B22" s="182" t="s">
        <v>119</v>
      </c>
      <c r="C22" s="64">
        <f>28*2+28*3</f>
        <v>140</v>
      </c>
      <c r="D22" s="204"/>
      <c r="E22" s="245"/>
      <c r="F22" s="244"/>
      <c r="G22" s="134"/>
      <c r="H22" s="133"/>
      <c r="I22" s="253"/>
      <c r="J22" s="254"/>
      <c r="K22" s="239">
        <f t="shared" ref="K22:K31" si="2">SUM(C22:H22)</f>
        <v>140</v>
      </c>
      <c r="L22" s="137"/>
      <c r="M22" s="136"/>
      <c r="N22" s="135"/>
    </row>
    <row r="23" spans="1:18" ht="19.5" thickBot="1" x14ac:dyDescent="0.3">
      <c r="A23" s="164" t="s">
        <v>120</v>
      </c>
      <c r="B23" s="166" t="s">
        <v>121</v>
      </c>
      <c r="C23" s="64"/>
      <c r="D23" s="204"/>
      <c r="E23" s="227">
        <f>28*38+28*9</f>
        <v>1316</v>
      </c>
      <c r="F23" s="64">
        <f>39*4+33*4</f>
        <v>288</v>
      </c>
      <c r="G23" s="134"/>
      <c r="H23" s="138">
        <f>9*4+49*6+67*7</f>
        <v>799</v>
      </c>
      <c r="I23" s="253"/>
      <c r="J23" s="254"/>
      <c r="K23" s="239">
        <f t="shared" si="2"/>
        <v>2403</v>
      </c>
      <c r="L23" s="137">
        <v>13000</v>
      </c>
      <c r="M23" s="136">
        <f>L23-N23</f>
        <v>10000</v>
      </c>
      <c r="N23" s="135">
        <v>3000</v>
      </c>
    </row>
    <row r="24" spans="1:18" ht="19.5" thickBot="1" x14ac:dyDescent="0.3">
      <c r="A24" s="164"/>
      <c r="B24" s="166" t="s">
        <v>122</v>
      </c>
      <c r="C24" s="64">
        <f>28*34</f>
        <v>952</v>
      </c>
      <c r="D24" s="204">
        <f>28*53</f>
        <v>1484</v>
      </c>
      <c r="E24" s="227"/>
      <c r="F24" s="64"/>
      <c r="G24" s="134"/>
      <c r="H24" s="138"/>
      <c r="I24" s="253"/>
      <c r="J24" s="254"/>
      <c r="K24" s="239">
        <f t="shared" si="2"/>
        <v>2436</v>
      </c>
      <c r="L24" s="137"/>
      <c r="M24" s="136"/>
      <c r="N24" s="135"/>
    </row>
    <row r="25" spans="1:18" ht="19.5" thickBot="1" x14ac:dyDescent="0.3">
      <c r="A25" s="164" t="s">
        <v>123</v>
      </c>
      <c r="B25" s="166" t="s">
        <v>124</v>
      </c>
      <c r="C25" s="64">
        <f>28*12+28*2.5</f>
        <v>406</v>
      </c>
      <c r="D25" s="204">
        <f>28*10</f>
        <v>280</v>
      </c>
      <c r="E25" s="138"/>
      <c r="F25" s="64"/>
      <c r="G25" s="134"/>
      <c r="H25" s="133"/>
      <c r="I25" s="253"/>
      <c r="J25" s="254"/>
      <c r="K25" s="239">
        <f t="shared" si="2"/>
        <v>686</v>
      </c>
      <c r="L25" s="137">
        <v>10000</v>
      </c>
      <c r="M25" s="136">
        <f>L25-N25</f>
        <v>10000</v>
      </c>
      <c r="N25" s="131">
        <v>0</v>
      </c>
    </row>
    <row r="26" spans="1:18" ht="19.5" thickBot="1" x14ac:dyDescent="0.3">
      <c r="A26" s="56" t="s">
        <v>125</v>
      </c>
      <c r="B26" s="55" t="s">
        <v>126</v>
      </c>
      <c r="C26" s="64">
        <f>28*84+28*5+16</f>
        <v>2508</v>
      </c>
      <c r="D26" s="204">
        <f>28*29</f>
        <v>812</v>
      </c>
      <c r="E26" s="127">
        <f>28*29+28*28</f>
        <v>1596</v>
      </c>
      <c r="F26" s="194">
        <f>51*4+74*4+66*4</f>
        <v>764</v>
      </c>
      <c r="G26" s="231"/>
      <c r="H26" s="133"/>
      <c r="I26" s="253"/>
      <c r="J26" s="254"/>
      <c r="K26" s="239">
        <f t="shared" si="2"/>
        <v>5680</v>
      </c>
      <c r="L26" s="137">
        <v>5000</v>
      </c>
      <c r="M26" s="131">
        <f>L26-N26</f>
        <v>0</v>
      </c>
      <c r="N26" s="135">
        <v>5000</v>
      </c>
    </row>
    <row r="27" spans="1:18" ht="19.5" thickBot="1" x14ac:dyDescent="0.3">
      <c r="A27" s="56" t="s">
        <v>127</v>
      </c>
      <c r="B27" s="55" t="s">
        <v>128</v>
      </c>
      <c r="C27" s="64"/>
      <c r="D27" s="204">
        <f>28*49+28*18+28*92+28*43+28*4+28*4+28*7-116-450</f>
        <v>5510</v>
      </c>
      <c r="E27" s="203">
        <f>28*31+28*23+28*13+28*62+28*82</f>
        <v>5908</v>
      </c>
      <c r="F27" s="62">
        <f>213*4</f>
        <v>852</v>
      </c>
      <c r="G27" s="231"/>
      <c r="H27" s="133"/>
      <c r="I27" s="253">
        <f>2640</f>
        <v>2640</v>
      </c>
      <c r="J27" s="254"/>
      <c r="K27" s="239">
        <f t="shared" si="2"/>
        <v>12270</v>
      </c>
      <c r="L27" s="137">
        <v>20000</v>
      </c>
      <c r="M27" s="136">
        <f>L27-N27</f>
        <v>10000</v>
      </c>
      <c r="N27" s="135">
        <v>10000</v>
      </c>
    </row>
    <row r="28" spans="1:18" ht="19.5" thickBot="1" x14ac:dyDescent="0.3">
      <c r="A28" s="164"/>
      <c r="B28" s="166" t="s">
        <v>129</v>
      </c>
      <c r="C28" s="62"/>
      <c r="D28" s="202"/>
      <c r="E28" s="203"/>
      <c r="F28" s="62">
        <f>28*8+10*8</f>
        <v>304</v>
      </c>
      <c r="G28" s="231"/>
      <c r="H28" s="133"/>
      <c r="I28" s="253"/>
      <c r="J28" s="254"/>
      <c r="K28" s="239">
        <f t="shared" si="2"/>
        <v>304</v>
      </c>
      <c r="L28" s="137"/>
      <c r="M28" s="136"/>
      <c r="N28" s="135"/>
    </row>
    <row r="29" spans="1:18" ht="19.5" thickBot="1" x14ac:dyDescent="0.3">
      <c r="A29" s="164" t="s">
        <v>130</v>
      </c>
      <c r="B29" s="166" t="s">
        <v>131</v>
      </c>
      <c r="C29" s="62">
        <f>28*16</f>
        <v>448</v>
      </c>
      <c r="D29" s="125">
        <f>28*31+28*19+28*10+28*53</f>
        <v>3164</v>
      </c>
      <c r="E29" s="127"/>
      <c r="F29" s="62">
        <f>75*8</f>
        <v>600</v>
      </c>
      <c r="G29" s="134"/>
      <c r="H29" s="132"/>
      <c r="I29" s="253"/>
      <c r="J29" s="254"/>
      <c r="K29" s="239">
        <f t="shared" si="2"/>
        <v>4212</v>
      </c>
      <c r="L29" s="137">
        <v>10000</v>
      </c>
      <c r="M29" s="136">
        <f>L29-N29</f>
        <v>5000</v>
      </c>
      <c r="N29" s="135">
        <v>5000</v>
      </c>
    </row>
    <row r="30" spans="1:18" ht="19.5" thickBot="1" x14ac:dyDescent="0.3">
      <c r="A30" s="164" t="s">
        <v>132</v>
      </c>
      <c r="B30" s="166" t="s">
        <v>133</v>
      </c>
      <c r="C30" s="61">
        <f>28*6+28*6+28+20+20+28*5</f>
        <v>544</v>
      </c>
      <c r="D30" s="199">
        <f>28*51+28*6.5+28*3+28*2.5</f>
        <v>1764</v>
      </c>
      <c r="E30" s="201">
        <f>28*45+28*17.5+28*18+28*9+28*40+28*78</f>
        <v>5810</v>
      </c>
      <c r="F30" s="64">
        <f>13*4</f>
        <v>52</v>
      </c>
      <c r="G30" s="180">
        <f>62*4+21*4+15*4+32*4+20*4+32*4</f>
        <v>728</v>
      </c>
      <c r="H30" s="132">
        <f>55*4+52*4+49*4+77*4</f>
        <v>932</v>
      </c>
      <c r="I30" s="253">
        <f>1750</f>
        <v>1750</v>
      </c>
      <c r="J30" s="254"/>
      <c r="K30" s="239">
        <f t="shared" si="2"/>
        <v>9830</v>
      </c>
      <c r="L30" s="137">
        <v>1000</v>
      </c>
      <c r="M30" s="136">
        <f>L30-N30</f>
        <v>750</v>
      </c>
      <c r="N30" s="135">
        <v>250</v>
      </c>
    </row>
    <row r="31" spans="1:18" ht="19.5" thickBot="1" x14ac:dyDescent="0.3">
      <c r="A31" s="164" t="s">
        <v>134</v>
      </c>
      <c r="B31" s="166" t="s">
        <v>135</v>
      </c>
      <c r="C31" s="62">
        <f>28*4+28*10.5+28</f>
        <v>434</v>
      </c>
      <c r="D31" s="202">
        <f>28*8+28*11.5+28*4+28*2</f>
        <v>714</v>
      </c>
      <c r="E31" s="201"/>
      <c r="F31" s="64"/>
      <c r="G31" s="180">
        <f>22*4+62*4+147*4</f>
        <v>924</v>
      </c>
      <c r="H31" s="132"/>
      <c r="I31" s="253"/>
      <c r="J31" s="254"/>
      <c r="K31" s="239">
        <f t="shared" si="2"/>
        <v>2072</v>
      </c>
      <c r="L31" s="137">
        <v>10000</v>
      </c>
      <c r="M31" s="136">
        <f>L31-N31</f>
        <v>10000</v>
      </c>
      <c r="N31" s="131">
        <v>0</v>
      </c>
    </row>
    <row r="32" spans="1:18" ht="19.5" thickBot="1" x14ac:dyDescent="0.3">
      <c r="A32" s="164"/>
      <c r="B32" s="221" t="s">
        <v>586</v>
      </c>
      <c r="C32" s="62"/>
      <c r="D32" s="202">
        <f>28*9+28*17</f>
        <v>728</v>
      </c>
      <c r="E32" s="201"/>
      <c r="F32" s="64"/>
      <c r="G32" s="180"/>
      <c r="H32" s="238"/>
      <c r="I32" s="178"/>
      <c r="J32" s="240"/>
      <c r="K32" s="239"/>
      <c r="L32" s="137"/>
      <c r="M32" s="136"/>
      <c r="N32" s="131"/>
    </row>
    <row r="33" spans="1:17" ht="19.5" thickBot="1" x14ac:dyDescent="0.35">
      <c r="A33" s="56" t="s">
        <v>137</v>
      </c>
      <c r="B33" s="55" t="s">
        <v>138</v>
      </c>
      <c r="C33" s="155"/>
      <c r="D33" s="202">
        <f>28*27+28*18+28*7.5</f>
        <v>1470</v>
      </c>
      <c r="E33" s="201">
        <f>28*25</f>
        <v>700</v>
      </c>
      <c r="F33" s="64"/>
      <c r="G33" s="180">
        <f>12*4+105*4</f>
        <v>468</v>
      </c>
      <c r="H33" s="231">
        <f>25*4+35*4+50*4+70*4</f>
        <v>720</v>
      </c>
      <c r="I33" s="253"/>
      <c r="J33" s="254"/>
      <c r="K33" s="239">
        <f t="shared" ref="K33:K64" si="3">SUM(C33:H33)</f>
        <v>3358</v>
      </c>
      <c r="L33" s="137">
        <v>8000</v>
      </c>
      <c r="M33" s="136">
        <f>L33-N33</f>
        <v>8000</v>
      </c>
      <c r="N33" s="131">
        <v>0</v>
      </c>
    </row>
    <row r="34" spans="1:17" ht="19.5" thickBot="1" x14ac:dyDescent="0.35">
      <c r="A34" s="109"/>
      <c r="B34" s="108" t="s">
        <v>139</v>
      </c>
      <c r="C34" s="65"/>
      <c r="D34" s="199">
        <f>28*3.5+28*2+28*2+28*3+28*2</f>
        <v>350</v>
      </c>
      <c r="E34" s="228">
        <f>28*7+28*11</f>
        <v>504</v>
      </c>
      <c r="F34" s="65"/>
      <c r="G34" s="130"/>
      <c r="H34" s="231">
        <f>45*4</f>
        <v>180</v>
      </c>
      <c r="I34" s="253"/>
      <c r="J34" s="254"/>
      <c r="K34" s="239">
        <f t="shared" si="3"/>
        <v>1034</v>
      </c>
      <c r="L34" s="137"/>
      <c r="M34" s="136"/>
      <c r="N34" s="131"/>
    </row>
    <row r="35" spans="1:17" ht="19.5" thickBot="1" x14ac:dyDescent="0.3">
      <c r="A35" s="109" t="s">
        <v>140</v>
      </c>
      <c r="B35" s="175" t="s">
        <v>141</v>
      </c>
      <c r="C35" s="62"/>
      <c r="D35" s="199"/>
      <c r="E35" s="229"/>
      <c r="F35" s="159">
        <f>10*8+40*8</f>
        <v>400</v>
      </c>
      <c r="G35" s="134"/>
      <c r="H35" s="133">
        <f>41*8+40*8+61*8+42*8</f>
        <v>1472</v>
      </c>
      <c r="I35" s="253"/>
      <c r="J35" s="254"/>
      <c r="K35" s="239">
        <f t="shared" si="3"/>
        <v>1872</v>
      </c>
      <c r="L35" s="137">
        <v>15000</v>
      </c>
      <c r="M35" s="136">
        <f>L35-N35</f>
        <v>15000</v>
      </c>
      <c r="N35" s="131">
        <v>0</v>
      </c>
      <c r="Q35" s="128"/>
    </row>
    <row r="36" spans="1:17" ht="19.5" thickBot="1" x14ac:dyDescent="0.35">
      <c r="A36" s="109" t="s">
        <v>142</v>
      </c>
      <c r="B36" s="108" t="s">
        <v>143</v>
      </c>
      <c r="C36" s="160">
        <f>28*17+28*4.5+28*3-195+28*12-300</f>
        <v>527</v>
      </c>
      <c r="D36" s="139">
        <f>28*8+28*3+28*13+28*14+28*50+28*54+28*17+28*16+28*10</f>
        <v>5180</v>
      </c>
      <c r="E36" s="203">
        <f>28*16+28*27+28*21+28*8+28*62</f>
        <v>3752</v>
      </c>
      <c r="F36" s="115">
        <f>20</f>
        <v>20</v>
      </c>
      <c r="G36" s="134"/>
      <c r="H36" s="133">
        <f>49*4+40*4+117*4</f>
        <v>824</v>
      </c>
      <c r="I36" s="253">
        <f>4160</f>
        <v>4160</v>
      </c>
      <c r="J36" s="254"/>
      <c r="K36" s="239">
        <f t="shared" si="3"/>
        <v>10303</v>
      </c>
      <c r="L36" s="137">
        <v>6000</v>
      </c>
      <c r="M36" s="136">
        <f>L36-N36</f>
        <v>4000</v>
      </c>
      <c r="N36" s="135">
        <v>2000</v>
      </c>
    </row>
    <row r="37" spans="1:17" ht="19.5" thickBot="1" x14ac:dyDescent="0.3">
      <c r="A37" s="164" t="s">
        <v>144</v>
      </c>
      <c r="B37" s="166" t="s">
        <v>145</v>
      </c>
      <c r="C37" s="63">
        <f>28*9-45-10</f>
        <v>197</v>
      </c>
      <c r="D37" s="232"/>
      <c r="E37" s="201">
        <f>28*44+28*61</f>
        <v>2940</v>
      </c>
      <c r="F37" s="61">
        <f>113*4+185*4+43*4+66*4+28*4</f>
        <v>1740</v>
      </c>
      <c r="G37" s="134"/>
      <c r="H37" s="133"/>
      <c r="I37" s="253"/>
      <c r="J37" s="254"/>
      <c r="K37" s="239">
        <f t="shared" si="3"/>
        <v>4877</v>
      </c>
      <c r="L37" s="137">
        <v>30000</v>
      </c>
      <c r="M37" s="136">
        <f>L37-N37</f>
        <v>15000</v>
      </c>
      <c r="N37" s="135">
        <v>15000</v>
      </c>
    </row>
    <row r="38" spans="1:17" ht="19.5" thickBot="1" x14ac:dyDescent="0.35">
      <c r="A38" s="164" t="s">
        <v>146</v>
      </c>
      <c r="B38" s="166" t="s">
        <v>147</v>
      </c>
      <c r="C38" s="65"/>
      <c r="D38" s="125"/>
      <c r="E38" s="201"/>
      <c r="F38" s="65"/>
      <c r="G38" s="134"/>
      <c r="H38" s="133"/>
      <c r="I38" s="253"/>
      <c r="J38" s="254"/>
      <c r="K38" s="239">
        <f t="shared" si="3"/>
        <v>0</v>
      </c>
      <c r="L38" s="137">
        <v>15000</v>
      </c>
      <c r="M38" s="131">
        <f>L38-N38</f>
        <v>0</v>
      </c>
      <c r="N38" s="135">
        <v>15000</v>
      </c>
    </row>
    <row r="39" spans="1:17" ht="19.5" thickBot="1" x14ac:dyDescent="0.35">
      <c r="A39" s="164"/>
      <c r="B39" s="166" t="s">
        <v>148</v>
      </c>
      <c r="C39" s="174">
        <f>28*6+28*31+28*18+28*40-60+28*4-50-100</f>
        <v>2562</v>
      </c>
      <c r="D39" s="125">
        <f>28*38+28*14</f>
        <v>1456</v>
      </c>
      <c r="E39" s="201">
        <f>28*36+28*64</f>
        <v>2800</v>
      </c>
      <c r="F39" s="65">
        <f>30*4+192*4</f>
        <v>888</v>
      </c>
      <c r="G39" s="134"/>
      <c r="H39" s="133">
        <f>121*4+25*4+75*4+154*4</f>
        <v>1500</v>
      </c>
      <c r="I39" s="253">
        <f>1820</f>
        <v>1820</v>
      </c>
      <c r="J39" s="254"/>
      <c r="K39" s="239">
        <f t="shared" si="3"/>
        <v>9206</v>
      </c>
      <c r="L39" s="137"/>
      <c r="M39" s="131"/>
      <c r="N39" s="135"/>
    </row>
    <row r="40" spans="1:17" ht="19.5" thickBot="1" x14ac:dyDescent="0.35">
      <c r="A40" s="164"/>
      <c r="B40" s="108" t="s">
        <v>600</v>
      </c>
      <c r="C40" s="174"/>
      <c r="D40" s="125"/>
      <c r="E40" s="201">
        <f>72*14</f>
        <v>1008</v>
      </c>
      <c r="F40" s="65"/>
      <c r="G40" s="134"/>
      <c r="H40" s="133">
        <f>125*4</f>
        <v>500</v>
      </c>
      <c r="I40" s="178"/>
      <c r="J40" s="240"/>
      <c r="K40" s="239"/>
      <c r="L40" s="137"/>
      <c r="M40" s="131"/>
      <c r="N40" s="135"/>
    </row>
    <row r="41" spans="1:17" ht="19.5" thickBot="1" x14ac:dyDescent="0.35">
      <c r="A41" s="164"/>
      <c r="B41" s="166" t="s">
        <v>558</v>
      </c>
      <c r="C41" s="65"/>
      <c r="D41" s="125"/>
      <c r="E41" s="201">
        <f>28*39+28*28</f>
        <v>1876</v>
      </c>
      <c r="F41" s="65"/>
      <c r="G41" s="134"/>
      <c r="H41" s="133">
        <f>45*4</f>
        <v>180</v>
      </c>
      <c r="I41" s="253"/>
      <c r="J41" s="254"/>
      <c r="K41" s="239">
        <f t="shared" si="3"/>
        <v>2056</v>
      </c>
      <c r="L41" s="137"/>
      <c r="M41" s="131"/>
      <c r="N41" s="135"/>
    </row>
    <row r="42" spans="1:17" ht="19.5" thickBot="1" x14ac:dyDescent="0.35">
      <c r="A42" s="109"/>
      <c r="B42" s="108" t="s">
        <v>150</v>
      </c>
      <c r="C42" s="65">
        <f>28*2+28-25</f>
        <v>59</v>
      </c>
      <c r="D42" s="125">
        <f>28*14+28*16+28*6</f>
        <v>1008</v>
      </c>
      <c r="E42" s="201"/>
      <c r="F42" s="65"/>
      <c r="G42" s="134"/>
      <c r="H42" s="133">
        <f>14*4</f>
        <v>56</v>
      </c>
      <c r="I42" s="253"/>
      <c r="J42" s="254"/>
      <c r="K42" s="239">
        <f t="shared" si="3"/>
        <v>1123</v>
      </c>
      <c r="L42" s="137"/>
      <c r="M42" s="131"/>
      <c r="N42" s="135"/>
    </row>
    <row r="43" spans="1:17" ht="18.75" customHeight="1" thickBot="1" x14ac:dyDescent="0.35">
      <c r="A43" s="109" t="s">
        <v>151</v>
      </c>
      <c r="B43" s="108" t="s">
        <v>152</v>
      </c>
      <c r="C43" s="65">
        <f>28*4-100</f>
        <v>12</v>
      </c>
      <c r="D43" s="202"/>
      <c r="E43" s="138">
        <f>28*5+28*15</f>
        <v>560</v>
      </c>
      <c r="F43" s="65"/>
      <c r="G43" s="134"/>
      <c r="H43" s="133">
        <f>26*4</f>
        <v>104</v>
      </c>
      <c r="I43" s="253">
        <f>620</f>
        <v>620</v>
      </c>
      <c r="J43" s="254"/>
      <c r="K43" s="239">
        <f t="shared" si="3"/>
        <v>676</v>
      </c>
      <c r="L43" s="137">
        <v>20000</v>
      </c>
      <c r="M43" s="136">
        <f>L43-N43</f>
        <v>10000</v>
      </c>
      <c r="N43" s="135">
        <v>10000</v>
      </c>
    </row>
    <row r="44" spans="1:17" ht="19.5" thickBot="1" x14ac:dyDescent="0.35">
      <c r="A44" s="109"/>
      <c r="B44" s="108" t="s">
        <v>153</v>
      </c>
      <c r="C44" s="65"/>
      <c r="D44" s="199">
        <f>28*5</f>
        <v>140</v>
      </c>
      <c r="E44" s="138"/>
      <c r="F44" s="65">
        <f>20+22</f>
        <v>42</v>
      </c>
      <c r="G44" s="234"/>
      <c r="H44" s="133"/>
      <c r="I44" s="253"/>
      <c r="J44" s="254"/>
      <c r="K44" s="239">
        <f t="shared" si="3"/>
        <v>182</v>
      </c>
      <c r="L44" s="137"/>
      <c r="M44" s="136"/>
      <c r="N44" s="135"/>
    </row>
    <row r="45" spans="1:17" ht="19.5" thickBot="1" x14ac:dyDescent="0.35">
      <c r="A45" s="109"/>
      <c r="B45" s="157" t="s">
        <v>154</v>
      </c>
      <c r="C45" s="65"/>
      <c r="D45" s="199"/>
      <c r="E45" s="138"/>
      <c r="F45" s="65">
        <f>101*4</f>
        <v>404</v>
      </c>
      <c r="G45" s="231">
        <f>106*4</f>
        <v>424</v>
      </c>
      <c r="H45" s="133"/>
      <c r="I45" s="253"/>
      <c r="J45" s="254"/>
      <c r="K45" s="239">
        <f t="shared" si="3"/>
        <v>828</v>
      </c>
      <c r="L45" s="137"/>
      <c r="M45" s="136"/>
      <c r="N45" s="135"/>
    </row>
    <row r="46" spans="1:17" ht="19.5" thickBot="1" x14ac:dyDescent="0.35">
      <c r="A46" s="164"/>
      <c r="B46" s="166" t="s">
        <v>155</v>
      </c>
      <c r="C46" s="155">
        <f>28*3</f>
        <v>84</v>
      </c>
      <c r="D46" s="199">
        <f>28*15+28*29+28*12+28</f>
        <v>1596</v>
      </c>
      <c r="E46" s="138"/>
      <c r="F46" s="65"/>
      <c r="G46" s="134"/>
      <c r="H46" s="133">
        <f>15*4+203*4</f>
        <v>872</v>
      </c>
      <c r="I46" s="253">
        <f>3900</f>
        <v>3900</v>
      </c>
      <c r="J46" s="254"/>
      <c r="K46" s="239">
        <f t="shared" si="3"/>
        <v>2552</v>
      </c>
      <c r="L46" s="137"/>
      <c r="M46" s="136"/>
      <c r="N46" s="135"/>
      <c r="Q46" s="128"/>
    </row>
    <row r="47" spans="1:17" ht="17.25" customHeight="1" thickBot="1" x14ac:dyDescent="0.35">
      <c r="A47" s="56" t="s">
        <v>156</v>
      </c>
      <c r="B47" s="55" t="s">
        <v>157</v>
      </c>
      <c r="C47" s="65">
        <f>28*22+28*3+28*2</f>
        <v>756</v>
      </c>
      <c r="D47" s="199">
        <f>28*17.5</f>
        <v>490</v>
      </c>
      <c r="E47" s="138">
        <f>28*25</f>
        <v>700</v>
      </c>
      <c r="F47" s="65">
        <f>92*4+35*4</f>
        <v>508</v>
      </c>
      <c r="G47" s="134"/>
      <c r="H47" s="132">
        <f>101*4+182*4+15*4+70*4</f>
        <v>1472</v>
      </c>
      <c r="I47" s="253">
        <f>1920</f>
        <v>1920</v>
      </c>
      <c r="J47" s="254"/>
      <c r="K47" s="239">
        <f t="shared" si="3"/>
        <v>3926</v>
      </c>
      <c r="L47" s="137">
        <v>20000</v>
      </c>
      <c r="M47" s="136">
        <f>L47-N47</f>
        <v>10000</v>
      </c>
      <c r="N47" s="135">
        <v>10000</v>
      </c>
    </row>
    <row r="48" spans="1:17" ht="19.5" thickBot="1" x14ac:dyDescent="0.35">
      <c r="A48" s="56" t="s">
        <v>158</v>
      </c>
      <c r="B48" s="55" t="s">
        <v>159</v>
      </c>
      <c r="C48" s="65">
        <f>28*23+28*9+28*2+28*24-30</f>
        <v>1594</v>
      </c>
      <c r="D48" s="199">
        <f>28*41+28*16+28*76</f>
        <v>3724</v>
      </c>
      <c r="E48" s="138">
        <f>28*30+28*29+28*44+28*46</f>
        <v>4172</v>
      </c>
      <c r="F48" s="155">
        <f>63*4+182*4+186*4</f>
        <v>1724</v>
      </c>
      <c r="G48" s="134">
        <f>267*4</f>
        <v>1068</v>
      </c>
      <c r="H48" s="132"/>
      <c r="I48" s="253"/>
      <c r="J48" s="254"/>
      <c r="K48" s="239">
        <f t="shared" si="3"/>
        <v>12282</v>
      </c>
      <c r="L48" s="137">
        <v>5000</v>
      </c>
      <c r="M48" s="136">
        <f>L48-N48</f>
        <v>4000</v>
      </c>
      <c r="N48" s="135">
        <v>1000</v>
      </c>
    </row>
    <row r="49" spans="1:17" ht="19.5" thickBot="1" x14ac:dyDescent="0.3">
      <c r="A49" s="56" t="s">
        <v>160</v>
      </c>
      <c r="B49" s="175" t="s">
        <v>161</v>
      </c>
      <c r="C49" s="62"/>
      <c r="D49" s="125"/>
      <c r="E49" s="127">
        <f>28*36</f>
        <v>1008</v>
      </c>
      <c r="F49" s="62">
        <f>49*8+40*8+28*8+91*8-80</f>
        <v>1584</v>
      </c>
      <c r="G49" s="134"/>
      <c r="H49" s="133">
        <f>98*8+63*8+67*8</f>
        <v>1824</v>
      </c>
      <c r="I49" s="253"/>
      <c r="J49" s="254"/>
      <c r="K49" s="239">
        <f t="shared" si="3"/>
        <v>4416</v>
      </c>
      <c r="L49" s="137">
        <v>5000</v>
      </c>
      <c r="M49" s="136">
        <f>L49-N49</f>
        <v>4000</v>
      </c>
      <c r="N49" s="135">
        <v>1000</v>
      </c>
    </row>
    <row r="50" spans="1:17" ht="19.5" thickBot="1" x14ac:dyDescent="0.3">
      <c r="A50" s="109"/>
      <c r="B50" s="175" t="s">
        <v>162</v>
      </c>
      <c r="C50" s="62"/>
      <c r="D50" s="125">
        <f>28*4-100</f>
        <v>12</v>
      </c>
      <c r="E50" s="127">
        <f>28*76</f>
        <v>2128</v>
      </c>
      <c r="F50" s="62">
        <f>14*8</f>
        <v>112</v>
      </c>
      <c r="G50" s="134"/>
      <c r="H50" s="133">
        <f>99*8+31*8</f>
        <v>1040</v>
      </c>
      <c r="I50" s="253"/>
      <c r="J50" s="254"/>
      <c r="K50" s="239">
        <f t="shared" si="3"/>
        <v>3292</v>
      </c>
      <c r="L50" s="137"/>
      <c r="M50" s="136"/>
      <c r="N50" s="135"/>
    </row>
    <row r="51" spans="1:17" ht="19.5" thickBot="1" x14ac:dyDescent="0.3">
      <c r="A51" s="56" t="s">
        <v>163</v>
      </c>
      <c r="B51" s="55" t="s">
        <v>164</v>
      </c>
      <c r="C51" s="64"/>
      <c r="D51" s="198">
        <f>28*6</f>
        <v>168</v>
      </c>
      <c r="E51" s="205">
        <f>28*87</f>
        <v>2436</v>
      </c>
      <c r="F51" s="64">
        <f>35*8+28*8+35*8+14*8+35*8+84*8+168*8+28*8-250</f>
        <v>3166</v>
      </c>
      <c r="G51" s="134">
        <f>119*8</f>
        <v>952</v>
      </c>
      <c r="H51" s="133">
        <f>94*8+56*8+140*8+54*8+133*8+128*8+21*8+105*8+120*8</f>
        <v>6808</v>
      </c>
      <c r="I51" s="253"/>
      <c r="J51" s="254"/>
      <c r="K51" s="239">
        <f t="shared" si="3"/>
        <v>13530</v>
      </c>
      <c r="L51" s="137">
        <v>10000</v>
      </c>
      <c r="M51" s="136">
        <f>L51-N51</f>
        <v>5000</v>
      </c>
      <c r="N51" s="135">
        <v>5000</v>
      </c>
    </row>
    <row r="52" spans="1:17" ht="19.5" thickBot="1" x14ac:dyDescent="0.3">
      <c r="A52" s="56" t="s">
        <v>165</v>
      </c>
      <c r="B52" s="55" t="s">
        <v>166</v>
      </c>
      <c r="C52" s="67">
        <f>28*34+28*22+28*3+28*4+28*2+28+28-350</f>
        <v>1526</v>
      </c>
      <c r="D52" s="200">
        <f>28*10+28*32+28*13+28</f>
        <v>1568</v>
      </c>
      <c r="E52" s="196">
        <f>28+28*112+28*16+28*82</f>
        <v>5908</v>
      </c>
      <c r="F52" s="64"/>
      <c r="G52" s="232">
        <f>138*8+26*8</f>
        <v>1312</v>
      </c>
      <c r="H52" s="127"/>
      <c r="I52" s="253"/>
      <c r="J52" s="254"/>
      <c r="K52" s="239">
        <f t="shared" si="3"/>
        <v>10314</v>
      </c>
      <c r="L52" s="137">
        <v>5000</v>
      </c>
      <c r="M52" s="136">
        <f>L52-N52</f>
        <v>3000</v>
      </c>
      <c r="N52" s="135">
        <v>2000</v>
      </c>
      <c r="Q52" s="128"/>
    </row>
    <row r="53" spans="1:17" ht="19.5" thickBot="1" x14ac:dyDescent="0.3">
      <c r="A53" s="56" t="s">
        <v>167</v>
      </c>
      <c r="B53" s="55" t="s">
        <v>168</v>
      </c>
      <c r="C53" s="64">
        <f>28*8-110+28+28+28</f>
        <v>198</v>
      </c>
      <c r="D53" s="204">
        <f>28*13+28*6+28*10+28*4+28*6+28*52</f>
        <v>2548</v>
      </c>
      <c r="E53" s="196">
        <f>28*3+28*73+28*127+28*32</f>
        <v>6580</v>
      </c>
      <c r="F53" s="64">
        <f>88*7+46*8</f>
        <v>984</v>
      </c>
      <c r="G53" s="134"/>
      <c r="H53" s="133"/>
      <c r="I53" s="253"/>
      <c r="J53" s="254"/>
      <c r="K53" s="239">
        <f t="shared" si="3"/>
        <v>10310</v>
      </c>
      <c r="L53" s="137">
        <v>5000</v>
      </c>
      <c r="M53" s="136">
        <f>L53-N53</f>
        <v>3000</v>
      </c>
      <c r="N53" s="135">
        <v>2000</v>
      </c>
      <c r="Q53" s="128"/>
    </row>
    <row r="54" spans="1:17" ht="19.5" thickBot="1" x14ac:dyDescent="0.3">
      <c r="A54" s="164" t="s">
        <v>169</v>
      </c>
      <c r="B54" s="166" t="s">
        <v>170</v>
      </c>
      <c r="C54" s="64"/>
      <c r="D54" s="204"/>
      <c r="E54" s="196"/>
      <c r="F54" s="64"/>
      <c r="G54" s="130"/>
      <c r="H54" s="133"/>
      <c r="I54" s="253"/>
      <c r="J54" s="254"/>
      <c r="K54" s="239">
        <f t="shared" si="3"/>
        <v>0</v>
      </c>
      <c r="L54" s="137"/>
      <c r="M54" s="136"/>
      <c r="N54" s="135"/>
    </row>
    <row r="55" spans="1:17" ht="19.5" thickBot="1" x14ac:dyDescent="0.3">
      <c r="A55" s="56" t="s">
        <v>172</v>
      </c>
      <c r="B55" s="55" t="s">
        <v>173</v>
      </c>
      <c r="C55" s="64">
        <f>28*5-30</f>
        <v>110</v>
      </c>
      <c r="D55" s="204">
        <f>28*33+28*9</f>
        <v>1176</v>
      </c>
      <c r="E55" s="196"/>
      <c r="F55" s="67"/>
      <c r="G55" s="126"/>
      <c r="H55" s="132">
        <f>404</f>
        <v>404</v>
      </c>
      <c r="I55" s="253">
        <f>1560</f>
        <v>1560</v>
      </c>
      <c r="J55" s="254"/>
      <c r="K55" s="239">
        <f t="shared" si="3"/>
        <v>1690</v>
      </c>
      <c r="L55" s="137">
        <v>5000</v>
      </c>
      <c r="M55" s="136">
        <f>L55-N55</f>
        <v>4000</v>
      </c>
      <c r="N55" s="135">
        <v>1000</v>
      </c>
      <c r="Q55" s="128"/>
    </row>
    <row r="56" spans="1:17" ht="19.5" thickBot="1" x14ac:dyDescent="0.3">
      <c r="A56" s="56" t="s">
        <v>174</v>
      </c>
      <c r="B56" s="55" t="s">
        <v>175</v>
      </c>
      <c r="C56" s="64">
        <f>28*2</f>
        <v>56</v>
      </c>
      <c r="D56" s="204">
        <f>28*20+28*3</f>
        <v>644</v>
      </c>
      <c r="E56" s="196">
        <f>28*27+28*12</f>
        <v>1092</v>
      </c>
      <c r="F56" s="64">
        <f>140*4+42*4-150</f>
        <v>578</v>
      </c>
      <c r="G56" s="134">
        <f>42*4</f>
        <v>168</v>
      </c>
      <c r="H56" s="132">
        <f>42*4+156*4+82*4+112*4</f>
        <v>1568</v>
      </c>
      <c r="I56" s="253">
        <f>1560</f>
        <v>1560</v>
      </c>
      <c r="J56" s="254"/>
      <c r="K56" s="239">
        <f t="shared" si="3"/>
        <v>4106</v>
      </c>
      <c r="L56" s="137">
        <v>10000</v>
      </c>
      <c r="M56" s="136">
        <f>L56-N56</f>
        <v>6000</v>
      </c>
      <c r="N56" s="135">
        <v>4000</v>
      </c>
    </row>
    <row r="57" spans="1:17" ht="19.5" thickBot="1" x14ac:dyDescent="0.3">
      <c r="A57" s="164"/>
      <c r="B57" s="166" t="s">
        <v>176</v>
      </c>
      <c r="C57" s="64"/>
      <c r="D57" s="204"/>
      <c r="E57" s="230"/>
      <c r="F57" s="64"/>
      <c r="G57" s="134"/>
      <c r="H57" s="132"/>
      <c r="I57" s="253"/>
      <c r="J57" s="254"/>
      <c r="K57" s="239">
        <f t="shared" si="3"/>
        <v>0</v>
      </c>
      <c r="L57" s="137"/>
      <c r="M57" s="136"/>
      <c r="N57" s="135"/>
    </row>
    <row r="58" spans="1:17" ht="19.5" thickBot="1" x14ac:dyDescent="0.3">
      <c r="A58" s="56" t="s">
        <v>177</v>
      </c>
      <c r="B58" s="55" t="s">
        <v>178</v>
      </c>
      <c r="C58" s="173">
        <f>28*32+28*5+28*19+28*21+28*9+28*62+28*2-1000-430</f>
        <v>2770</v>
      </c>
      <c r="D58" s="198">
        <f>28*12+22*14+28*11+28*14+48*14</f>
        <v>2016</v>
      </c>
      <c r="E58" s="230"/>
      <c r="F58" s="114"/>
      <c r="G58" s="134">
        <f>250*4-90</f>
        <v>910</v>
      </c>
      <c r="H58" s="133">
        <f>33*4+95*4+1000</f>
        <v>1512</v>
      </c>
      <c r="I58" s="253"/>
      <c r="J58" s="254"/>
      <c r="K58" s="239">
        <f t="shared" si="3"/>
        <v>7208</v>
      </c>
      <c r="L58" s="137">
        <v>5000</v>
      </c>
      <c r="M58" s="136">
        <f>L58-N58</f>
        <v>2500</v>
      </c>
      <c r="N58" s="135">
        <v>2500</v>
      </c>
    </row>
    <row r="59" spans="1:17" ht="19.5" thickBot="1" x14ac:dyDescent="0.3">
      <c r="A59" s="56" t="s">
        <v>179</v>
      </c>
      <c r="B59" s="55" t="s">
        <v>180</v>
      </c>
      <c r="C59" s="64">
        <f>28*30+28*15</f>
        <v>1260</v>
      </c>
      <c r="D59" s="198">
        <f>28*16+28*15+28*5</f>
        <v>1008</v>
      </c>
      <c r="E59" s="196">
        <f>28*12+28*36</f>
        <v>1344</v>
      </c>
      <c r="F59" s="67"/>
      <c r="G59" s="134">
        <f>157*4+24*4</f>
        <v>724</v>
      </c>
      <c r="H59" s="133">
        <f>34*4+96*4</f>
        <v>520</v>
      </c>
      <c r="I59" s="253">
        <f>4400</f>
        <v>4400</v>
      </c>
      <c r="J59" s="254"/>
      <c r="K59" s="239">
        <f t="shared" si="3"/>
        <v>4856</v>
      </c>
      <c r="L59" s="137">
        <v>20000</v>
      </c>
      <c r="M59" s="136">
        <f>L59-N59</f>
        <v>12000</v>
      </c>
      <c r="N59" s="135">
        <v>8000</v>
      </c>
    </row>
    <row r="60" spans="1:17" ht="19.5" thickBot="1" x14ac:dyDescent="0.3">
      <c r="A60" s="56"/>
      <c r="B60" s="55" t="s">
        <v>181</v>
      </c>
      <c r="C60" s="64">
        <f>28*3+28*32+28*16-500-200-20</f>
        <v>708</v>
      </c>
      <c r="D60" s="230"/>
      <c r="E60" s="196"/>
      <c r="F60" s="64">
        <f>119*4+34*4+67*4+112*4</f>
        <v>1328</v>
      </c>
      <c r="G60" s="134"/>
      <c r="H60" s="133"/>
      <c r="I60" s="253"/>
      <c r="J60" s="254"/>
      <c r="K60" s="239">
        <f t="shared" si="3"/>
        <v>2036</v>
      </c>
      <c r="L60" s="137"/>
      <c r="M60" s="136"/>
      <c r="N60" s="135"/>
    </row>
    <row r="61" spans="1:17" ht="19.5" thickBot="1" x14ac:dyDescent="0.3">
      <c r="A61" s="56"/>
      <c r="B61" s="55" t="s">
        <v>182</v>
      </c>
      <c r="C61" s="64">
        <f>28*3+28*2.5+28*15-20</f>
        <v>554</v>
      </c>
      <c r="D61" s="230">
        <f>28*16+28*29</f>
        <v>1260</v>
      </c>
      <c r="E61" s="196">
        <f>28*47</f>
        <v>1316</v>
      </c>
      <c r="F61" s="64">
        <f>24*4+23*4+66*4+126*4</f>
        <v>956</v>
      </c>
      <c r="G61" s="134"/>
      <c r="H61" s="133"/>
      <c r="I61" s="253">
        <f>780</f>
        <v>780</v>
      </c>
      <c r="J61" s="254"/>
      <c r="K61" s="239">
        <f t="shared" si="3"/>
        <v>4086</v>
      </c>
      <c r="L61" s="137"/>
      <c r="M61" s="136"/>
      <c r="N61" s="131"/>
      <c r="Q61" s="128"/>
    </row>
    <row r="62" spans="1:17" ht="19.5" thickBot="1" x14ac:dyDescent="0.3">
      <c r="A62" s="164"/>
      <c r="B62" s="166" t="s">
        <v>183</v>
      </c>
      <c r="C62" s="64"/>
      <c r="D62" s="230"/>
      <c r="E62" s="196"/>
      <c r="F62" s="64"/>
      <c r="G62" s="134"/>
      <c r="H62" s="133"/>
      <c r="I62" s="253"/>
      <c r="J62" s="254"/>
      <c r="K62" s="239">
        <f t="shared" si="3"/>
        <v>0</v>
      </c>
      <c r="L62" s="137"/>
      <c r="M62" s="136"/>
      <c r="N62" s="131"/>
    </row>
    <row r="63" spans="1:17" ht="19.5" thickBot="1" x14ac:dyDescent="0.3">
      <c r="A63" s="56" t="s">
        <v>184</v>
      </c>
      <c r="B63" s="55" t="s">
        <v>185</v>
      </c>
      <c r="C63" s="64"/>
      <c r="D63" s="230"/>
      <c r="E63" s="196"/>
      <c r="F63" s="64"/>
      <c r="G63" s="134"/>
      <c r="H63" s="133"/>
      <c r="I63" s="253"/>
      <c r="J63" s="254"/>
      <c r="K63" s="239">
        <f t="shared" si="3"/>
        <v>0</v>
      </c>
      <c r="L63" s="137">
        <v>2000</v>
      </c>
      <c r="M63" s="131">
        <f>L63-N63</f>
        <v>0</v>
      </c>
      <c r="N63" s="135">
        <v>2000</v>
      </c>
    </row>
    <row r="64" spans="1:17" ht="19.5" thickBot="1" x14ac:dyDescent="0.3">
      <c r="A64" s="109" t="s">
        <v>186</v>
      </c>
      <c r="B64" s="108" t="s">
        <v>187</v>
      </c>
      <c r="C64" s="101"/>
      <c r="D64" s="139">
        <f>28*45+28*19+28*75</f>
        <v>3892</v>
      </c>
      <c r="E64" s="138">
        <f>28*60</f>
        <v>1680</v>
      </c>
      <c r="F64" s="101">
        <f>35*4+33*4</f>
        <v>272</v>
      </c>
      <c r="G64" s="134"/>
      <c r="H64" s="133"/>
      <c r="I64" s="253">
        <f>520</f>
        <v>520</v>
      </c>
      <c r="J64" s="254"/>
      <c r="K64" s="239">
        <f t="shared" si="3"/>
        <v>5844</v>
      </c>
      <c r="L64" s="137">
        <v>10000</v>
      </c>
      <c r="M64" s="136">
        <f>L64-N64</f>
        <v>9500</v>
      </c>
      <c r="N64" s="135">
        <v>500</v>
      </c>
    </row>
    <row r="65" spans="1:17" ht="19.5" thickBot="1" x14ac:dyDescent="0.3">
      <c r="A65" s="164"/>
      <c r="B65" s="166" t="s">
        <v>543</v>
      </c>
      <c r="C65" s="101"/>
      <c r="D65" s="139">
        <f>28*8</f>
        <v>224</v>
      </c>
      <c r="E65" s="138"/>
      <c r="F65" s="101"/>
      <c r="G65" s="134"/>
      <c r="H65" s="133"/>
      <c r="I65" s="253"/>
      <c r="J65" s="254"/>
      <c r="K65" s="239">
        <f t="shared" ref="K65:K95" si="4">SUM(C65:H65)</f>
        <v>224</v>
      </c>
      <c r="L65" s="137"/>
      <c r="M65" s="136"/>
      <c r="N65" s="135"/>
    </row>
    <row r="66" spans="1:17" ht="19.5" thickBot="1" x14ac:dyDescent="0.3">
      <c r="A66" s="164"/>
      <c r="B66" s="166" t="s">
        <v>542</v>
      </c>
      <c r="C66" s="101">
        <f>20</f>
        <v>20</v>
      </c>
      <c r="D66" s="139"/>
      <c r="E66" s="138"/>
      <c r="F66" s="101"/>
      <c r="G66" s="134"/>
      <c r="H66" s="133"/>
      <c r="I66" s="253"/>
      <c r="J66" s="254"/>
      <c r="K66" s="239">
        <f t="shared" si="4"/>
        <v>20</v>
      </c>
      <c r="L66" s="137"/>
      <c r="M66" s="136"/>
      <c r="N66" s="135"/>
    </row>
    <row r="67" spans="1:17" ht="19.5" thickBot="1" x14ac:dyDescent="0.3">
      <c r="A67" s="164"/>
      <c r="B67" s="108" t="s">
        <v>188</v>
      </c>
      <c r="C67" s="97">
        <f>28*2</f>
        <v>56</v>
      </c>
      <c r="D67" s="139"/>
      <c r="E67" s="138">
        <f>28*54+28*60+28*46</f>
        <v>4480</v>
      </c>
      <c r="F67" s="101"/>
      <c r="G67" s="134"/>
      <c r="H67" s="133"/>
      <c r="I67" s="178"/>
      <c r="J67" s="240"/>
      <c r="K67" s="239"/>
      <c r="L67" s="137"/>
      <c r="M67" s="136"/>
      <c r="N67" s="135"/>
    </row>
    <row r="68" spans="1:17" ht="19.5" thickBot="1" x14ac:dyDescent="0.3">
      <c r="A68" s="56" t="s">
        <v>189</v>
      </c>
      <c r="B68" s="55" t="s">
        <v>190</v>
      </c>
      <c r="C68" s="176"/>
      <c r="D68" s="199"/>
      <c r="E68" s="196">
        <f>28*14</f>
        <v>392</v>
      </c>
      <c r="F68" s="64">
        <f>27</f>
        <v>27</v>
      </c>
      <c r="G68" s="134"/>
      <c r="H68" s="132"/>
      <c r="I68" s="253"/>
      <c r="J68" s="254"/>
      <c r="K68" s="239">
        <f t="shared" si="4"/>
        <v>419</v>
      </c>
      <c r="L68" s="137">
        <v>8000</v>
      </c>
      <c r="M68" s="136">
        <f>L68-N68</f>
        <v>5000</v>
      </c>
      <c r="N68" s="135">
        <v>3000</v>
      </c>
    </row>
    <row r="69" spans="1:17" ht="19.5" thickBot="1" x14ac:dyDescent="0.3">
      <c r="A69" s="56" t="s">
        <v>191</v>
      </c>
      <c r="B69" s="55" t="s">
        <v>192</v>
      </c>
      <c r="C69" s="176"/>
      <c r="D69" s="199"/>
      <c r="E69" s="231">
        <f>28*2</f>
        <v>56</v>
      </c>
      <c r="F69" s="66">
        <f>30*8+12*8-50</f>
        <v>286</v>
      </c>
      <c r="G69" s="134"/>
      <c r="H69" s="133"/>
      <c r="I69" s="253"/>
      <c r="J69" s="254"/>
      <c r="K69" s="239">
        <f t="shared" si="4"/>
        <v>342</v>
      </c>
      <c r="L69" s="137">
        <v>4000</v>
      </c>
      <c r="M69" s="136">
        <f>L69-N69</f>
        <v>2000</v>
      </c>
      <c r="N69" s="135">
        <v>2000</v>
      </c>
    </row>
    <row r="70" spans="1:17" ht="19.5" thickBot="1" x14ac:dyDescent="0.3">
      <c r="A70" s="164" t="s">
        <v>193</v>
      </c>
      <c r="B70" s="175" t="s">
        <v>589</v>
      </c>
      <c r="C70" s="176"/>
      <c r="D70" s="199">
        <f>28*37</f>
        <v>1036</v>
      </c>
      <c r="E70" s="201">
        <f>28*138</f>
        <v>3864</v>
      </c>
      <c r="F70" s="62"/>
      <c r="G70" s="134"/>
      <c r="H70" s="231">
        <f>2104</f>
        <v>2104</v>
      </c>
      <c r="I70" s="253"/>
      <c r="J70" s="254"/>
      <c r="K70" s="239">
        <f t="shared" si="4"/>
        <v>7004</v>
      </c>
      <c r="L70" s="137">
        <v>5000</v>
      </c>
      <c r="M70" s="136">
        <f>L70-N70</f>
        <v>5000</v>
      </c>
      <c r="N70" s="131">
        <v>0</v>
      </c>
    </row>
    <row r="71" spans="1:17" ht="19.5" thickBot="1" x14ac:dyDescent="0.3">
      <c r="A71" s="164" t="s">
        <v>195</v>
      </c>
      <c r="B71" s="166" t="s">
        <v>196</v>
      </c>
      <c r="C71" s="60"/>
      <c r="D71" s="134">
        <f>28*4</f>
        <v>112</v>
      </c>
      <c r="E71" s="127">
        <f>28*48</f>
        <v>1344</v>
      </c>
      <c r="F71" s="62"/>
      <c r="G71" s="134"/>
      <c r="H71" s="133"/>
      <c r="I71" s="253"/>
      <c r="J71" s="254"/>
      <c r="K71" s="239">
        <f t="shared" si="4"/>
        <v>1456</v>
      </c>
      <c r="L71" s="137">
        <v>5000</v>
      </c>
      <c r="M71" s="136">
        <f>L71-N71</f>
        <v>4500</v>
      </c>
      <c r="N71" s="135">
        <v>500</v>
      </c>
    </row>
    <row r="72" spans="1:17" ht="19.5" thickBot="1" x14ac:dyDescent="0.3">
      <c r="A72" s="164" t="s">
        <v>197</v>
      </c>
      <c r="B72" s="166" t="s">
        <v>198</v>
      </c>
      <c r="C72" s="181">
        <f>28*18+28*56+28*28+28*22-300-650</f>
        <v>2522</v>
      </c>
      <c r="D72" s="125">
        <f>28*13+28*24+28*22+28*6+28*45</f>
        <v>3080</v>
      </c>
      <c r="E72" s="127">
        <f>28*47+28*41+28*10</f>
        <v>2744</v>
      </c>
      <c r="F72" s="177"/>
      <c r="G72" s="134">
        <f>492</f>
        <v>492</v>
      </c>
      <c r="H72" s="133"/>
      <c r="I72" s="253">
        <f>4680</f>
        <v>4680</v>
      </c>
      <c r="J72" s="254"/>
      <c r="K72" s="239">
        <f t="shared" si="4"/>
        <v>8838</v>
      </c>
      <c r="L72" s="137">
        <v>5000</v>
      </c>
      <c r="M72" s="136">
        <f>L72-N72</f>
        <v>4500</v>
      </c>
      <c r="N72" s="135">
        <v>500</v>
      </c>
    </row>
    <row r="73" spans="1:17" ht="19.5" thickBot="1" x14ac:dyDescent="0.3">
      <c r="A73" s="56"/>
      <c r="B73" s="55" t="s">
        <v>199</v>
      </c>
      <c r="C73" s="172"/>
      <c r="D73" s="204">
        <f>28*9+28*33.5-50-200</f>
        <v>940</v>
      </c>
      <c r="E73" s="196">
        <f>28*72</f>
        <v>2016</v>
      </c>
      <c r="F73" s="60">
        <f>70*4</f>
        <v>280</v>
      </c>
      <c r="G73" s="134"/>
      <c r="H73" s="133">
        <f>189*4</f>
        <v>756</v>
      </c>
      <c r="I73" s="253">
        <f>2080</f>
        <v>2080</v>
      </c>
      <c r="J73" s="254"/>
      <c r="K73" s="239">
        <f t="shared" si="4"/>
        <v>3992</v>
      </c>
      <c r="L73" s="137"/>
      <c r="M73" s="136"/>
      <c r="N73" s="135"/>
    </row>
    <row r="74" spans="1:17" ht="19.5" thickBot="1" x14ac:dyDescent="0.3">
      <c r="A74" s="56" t="s">
        <v>200</v>
      </c>
      <c r="B74" s="55" t="s">
        <v>201</v>
      </c>
      <c r="C74" s="60"/>
      <c r="D74" s="204"/>
      <c r="E74" s="138">
        <f>28*32-8</f>
        <v>888</v>
      </c>
      <c r="F74" s="62">
        <f>24*8+11*8+4*8</f>
        <v>312</v>
      </c>
      <c r="G74" s="134"/>
      <c r="H74" s="133">
        <f>16*8+61*8</f>
        <v>616</v>
      </c>
      <c r="I74" s="253"/>
      <c r="J74" s="254"/>
      <c r="K74" s="239">
        <f t="shared" si="4"/>
        <v>1816</v>
      </c>
      <c r="L74" s="137">
        <v>3000</v>
      </c>
      <c r="M74" s="136">
        <f>L74-N74</f>
        <v>2500</v>
      </c>
      <c r="N74" s="135">
        <v>500</v>
      </c>
    </row>
    <row r="75" spans="1:17" ht="19.5" thickBot="1" x14ac:dyDescent="0.3">
      <c r="A75" s="56" t="s">
        <v>202</v>
      </c>
      <c r="B75" s="55" t="s">
        <v>203</v>
      </c>
      <c r="C75" s="172">
        <f>28+20</f>
        <v>48</v>
      </c>
      <c r="D75" s="204"/>
      <c r="E75" s="196">
        <f>28*2+28*4</f>
        <v>168</v>
      </c>
      <c r="F75" s="114">
        <f>35*8+24*8</f>
        <v>472</v>
      </c>
      <c r="G75" s="134">
        <f>25*8+58*8</f>
        <v>664</v>
      </c>
      <c r="H75" s="170">
        <f>37*8+12*14+35*8</f>
        <v>744</v>
      </c>
      <c r="I75" s="263"/>
      <c r="J75" s="264"/>
      <c r="K75" s="239">
        <f t="shared" si="4"/>
        <v>2096</v>
      </c>
      <c r="L75" s="137">
        <v>5000</v>
      </c>
      <c r="M75" s="136">
        <f>L75-N75</f>
        <v>5000</v>
      </c>
      <c r="N75" s="131">
        <v>0</v>
      </c>
      <c r="Q75" s="128"/>
    </row>
    <row r="76" spans="1:17" ht="19.5" thickBot="1" x14ac:dyDescent="0.3">
      <c r="A76" s="164"/>
      <c r="B76" s="166" t="s">
        <v>204</v>
      </c>
      <c r="C76" s="64"/>
      <c r="D76" s="204"/>
      <c r="E76" s="196"/>
      <c r="F76" s="64"/>
      <c r="G76" s="134"/>
      <c r="H76" s="133"/>
      <c r="I76" s="253"/>
      <c r="J76" s="254"/>
      <c r="K76" s="239">
        <f t="shared" si="4"/>
        <v>0</v>
      </c>
      <c r="L76" s="137"/>
      <c r="M76" s="136"/>
      <c r="N76" s="135"/>
    </row>
    <row r="77" spans="1:17" ht="19.5" thickBot="1" x14ac:dyDescent="0.3">
      <c r="A77" s="56" t="s">
        <v>205</v>
      </c>
      <c r="B77" s="55" t="s">
        <v>206</v>
      </c>
      <c r="C77" s="64"/>
      <c r="D77" s="230">
        <f>28*65+28*13.5-25</f>
        <v>2173</v>
      </c>
      <c r="E77" s="196">
        <f>28*3</f>
        <v>84</v>
      </c>
      <c r="F77" s="67">
        <f>126*4</f>
        <v>504</v>
      </c>
      <c r="G77" s="134"/>
      <c r="H77" s="133">
        <f>126*4</f>
        <v>504</v>
      </c>
      <c r="I77" s="253"/>
      <c r="J77" s="254"/>
      <c r="K77" s="239">
        <f t="shared" si="4"/>
        <v>3265</v>
      </c>
      <c r="L77" s="137">
        <v>1500</v>
      </c>
      <c r="M77" s="136">
        <f>L77-N77</f>
        <v>1500</v>
      </c>
      <c r="N77" s="131">
        <v>0</v>
      </c>
    </row>
    <row r="78" spans="1:17" ht="19.5" thickBot="1" x14ac:dyDescent="0.3">
      <c r="A78" s="56" t="s">
        <v>208</v>
      </c>
      <c r="B78" s="55" t="s">
        <v>209</v>
      </c>
      <c r="C78" s="64"/>
      <c r="D78" s="198">
        <f>28*28+28*19+28*8+28*6+28*7.5-334</f>
        <v>1584</v>
      </c>
      <c r="E78" s="205">
        <f>28*13+28*50</f>
        <v>1764</v>
      </c>
      <c r="F78" s="64">
        <f>73*4+38*4</f>
        <v>444</v>
      </c>
      <c r="G78" s="124">
        <f>182*4+21*4</f>
        <v>812</v>
      </c>
      <c r="H78" s="132">
        <f>82*4</f>
        <v>328</v>
      </c>
      <c r="I78" s="253">
        <f>520</f>
        <v>520</v>
      </c>
      <c r="J78" s="254"/>
      <c r="K78" s="239">
        <f t="shared" si="4"/>
        <v>4932</v>
      </c>
      <c r="L78" s="137">
        <v>10000</v>
      </c>
      <c r="M78" s="136">
        <f>L78-N78</f>
        <v>7500</v>
      </c>
      <c r="N78" s="135">
        <v>2500</v>
      </c>
    </row>
    <row r="79" spans="1:17" ht="19.5" thickBot="1" x14ac:dyDescent="0.3">
      <c r="A79" s="56"/>
      <c r="B79" s="55" t="s">
        <v>210</v>
      </c>
      <c r="C79" s="64"/>
      <c r="D79" s="198"/>
      <c r="E79" s="205"/>
      <c r="F79" s="64">
        <f>42*4</f>
        <v>168</v>
      </c>
      <c r="G79" s="124"/>
      <c r="H79" s="132"/>
      <c r="I79" s="253"/>
      <c r="J79" s="254"/>
      <c r="K79" s="239">
        <f t="shared" si="4"/>
        <v>168</v>
      </c>
      <c r="L79" s="137"/>
      <c r="M79" s="136"/>
      <c r="N79" s="135"/>
    </row>
    <row r="80" spans="1:17" ht="19.5" thickBot="1" x14ac:dyDescent="0.3">
      <c r="A80" s="164"/>
      <c r="B80" s="166" t="s">
        <v>211</v>
      </c>
      <c r="C80" s="64"/>
      <c r="D80" s="204"/>
      <c r="E80" s="196"/>
      <c r="F80" s="64"/>
      <c r="G80" s="124"/>
      <c r="H80" s="132"/>
      <c r="I80" s="253"/>
      <c r="J80" s="254"/>
      <c r="K80" s="239">
        <f t="shared" si="4"/>
        <v>0</v>
      </c>
      <c r="L80" s="137"/>
      <c r="M80" s="136"/>
      <c r="N80" s="135"/>
    </row>
    <row r="81" spans="1:17" ht="19.5" thickBot="1" x14ac:dyDescent="0.3">
      <c r="A81" s="109" t="s">
        <v>212</v>
      </c>
      <c r="B81" s="108" t="s">
        <v>213</v>
      </c>
      <c r="C81" s="64">
        <f>28*3.5+28+20-25</f>
        <v>121</v>
      </c>
      <c r="D81" s="198">
        <f>28*69+28*32</f>
        <v>2828</v>
      </c>
      <c r="E81" s="230"/>
      <c r="F81" s="64">
        <f>30</f>
        <v>30</v>
      </c>
      <c r="G81" s="134"/>
      <c r="H81" s="133">
        <f>150*4</f>
        <v>600</v>
      </c>
      <c r="I81" s="253">
        <f>780</f>
        <v>780</v>
      </c>
      <c r="J81" s="254"/>
      <c r="K81" s="239">
        <f t="shared" si="4"/>
        <v>3579</v>
      </c>
      <c r="L81" s="137">
        <v>8000</v>
      </c>
      <c r="M81" s="136">
        <f>L81-N81</f>
        <v>4500</v>
      </c>
      <c r="N81" s="135">
        <v>3500</v>
      </c>
    </row>
    <row r="82" spans="1:17" ht="19.5" thickBot="1" x14ac:dyDescent="0.3">
      <c r="A82" s="56" t="s">
        <v>214</v>
      </c>
      <c r="B82" s="175" t="s">
        <v>215</v>
      </c>
      <c r="C82" s="64">
        <f>28*40-45</f>
        <v>1075</v>
      </c>
      <c r="D82" s="198">
        <f>28*10</f>
        <v>280</v>
      </c>
      <c r="E82" s="230">
        <f>28*125</f>
        <v>3500</v>
      </c>
      <c r="F82" s="64">
        <f>19*8+108*4</f>
        <v>584</v>
      </c>
      <c r="G82" s="232"/>
      <c r="H82" s="133">
        <f>30*8+39*4+88*4</f>
        <v>748</v>
      </c>
      <c r="I82" s="253"/>
      <c r="J82" s="254"/>
      <c r="K82" s="239">
        <f t="shared" si="4"/>
        <v>6187</v>
      </c>
      <c r="L82" s="137">
        <v>15000</v>
      </c>
      <c r="M82" s="136">
        <f>L82-N82</f>
        <v>9000</v>
      </c>
      <c r="N82" s="135">
        <v>6000</v>
      </c>
    </row>
    <row r="83" spans="1:17" ht="19.5" thickBot="1" x14ac:dyDescent="0.3">
      <c r="A83" s="56"/>
      <c r="B83" s="175" t="s">
        <v>559</v>
      </c>
      <c r="C83" s="64"/>
      <c r="D83" s="198"/>
      <c r="E83" s="230">
        <f>28*39</f>
        <v>1092</v>
      </c>
      <c r="F83" s="64"/>
      <c r="G83" s="232"/>
      <c r="H83" s="133"/>
      <c r="I83" s="178"/>
      <c r="J83" s="240"/>
      <c r="K83" s="239">
        <f t="shared" si="4"/>
        <v>1092</v>
      </c>
      <c r="L83" s="137"/>
      <c r="M83" s="136"/>
      <c r="N83" s="135"/>
    </row>
    <row r="84" spans="1:17" ht="19.5" thickBot="1" x14ac:dyDescent="0.3">
      <c r="A84" s="109" t="s">
        <v>216</v>
      </c>
      <c r="B84" s="175" t="s">
        <v>217</v>
      </c>
      <c r="C84" s="64">
        <f>20</f>
        <v>20</v>
      </c>
      <c r="D84" s="204">
        <f>28*20.5</f>
        <v>574</v>
      </c>
      <c r="E84" s="230">
        <f>28*15</f>
        <v>420</v>
      </c>
      <c r="F84" s="64">
        <f>56*4+55*4+23*4+12*4</f>
        <v>584</v>
      </c>
      <c r="G84" s="134"/>
      <c r="H84" s="133"/>
      <c r="I84" s="253"/>
      <c r="J84" s="254"/>
      <c r="K84" s="239">
        <f t="shared" si="4"/>
        <v>1598</v>
      </c>
      <c r="L84" s="137">
        <v>12000</v>
      </c>
      <c r="M84" s="136">
        <f>L84-N84</f>
        <v>11000</v>
      </c>
      <c r="N84" s="135">
        <v>1000</v>
      </c>
    </row>
    <row r="85" spans="1:17" ht="19.5" thickBot="1" x14ac:dyDescent="0.3">
      <c r="A85" s="164"/>
      <c r="B85" s="175" t="s">
        <v>218</v>
      </c>
      <c r="C85" s="64"/>
      <c r="D85" s="204"/>
      <c r="E85" s="230"/>
      <c r="F85" s="64"/>
      <c r="G85" s="134"/>
      <c r="H85" s="133"/>
      <c r="I85" s="253"/>
      <c r="J85" s="254"/>
      <c r="K85" s="239">
        <f t="shared" si="4"/>
        <v>0</v>
      </c>
      <c r="L85" s="137"/>
      <c r="M85" s="136"/>
      <c r="N85" s="135"/>
    </row>
    <row r="86" spans="1:17" ht="19.5" thickBot="1" x14ac:dyDescent="0.3">
      <c r="A86" s="164"/>
      <c r="B86" s="175" t="s">
        <v>219</v>
      </c>
      <c r="C86" s="64"/>
      <c r="D86" s="204"/>
      <c r="E86" s="230"/>
      <c r="F86" s="64">
        <f>20</f>
        <v>20</v>
      </c>
      <c r="G86" s="134"/>
      <c r="H86" s="133"/>
      <c r="I86" s="253"/>
      <c r="J86" s="254"/>
      <c r="K86" s="239">
        <f t="shared" si="4"/>
        <v>20</v>
      </c>
      <c r="L86" s="137"/>
      <c r="M86" s="136"/>
      <c r="N86" s="135"/>
    </row>
    <row r="87" spans="1:17" ht="19.5" thickBot="1" x14ac:dyDescent="0.3">
      <c r="A87" s="164"/>
      <c r="B87" s="175" t="s">
        <v>220</v>
      </c>
      <c r="C87" s="172">
        <f>8</f>
        <v>8</v>
      </c>
      <c r="D87" s="139"/>
      <c r="E87" s="196"/>
      <c r="F87" s="64"/>
      <c r="G87" s="134"/>
      <c r="H87" s="133">
        <f>70*4</f>
        <v>280</v>
      </c>
      <c r="I87" s="253"/>
      <c r="J87" s="254"/>
      <c r="K87" s="239">
        <f t="shared" si="4"/>
        <v>288</v>
      </c>
      <c r="L87" s="137"/>
      <c r="M87" s="136"/>
      <c r="N87" s="135"/>
    </row>
    <row r="88" spans="1:17" ht="19.5" thickBot="1" x14ac:dyDescent="0.3">
      <c r="A88" s="56" t="s">
        <v>221</v>
      </c>
      <c r="B88" s="55" t="s">
        <v>222</v>
      </c>
      <c r="C88" s="64">
        <f>28*20+28*16+30+28+20-46-40-150-320</f>
        <v>530</v>
      </c>
      <c r="D88" s="198">
        <f>28*21+28*36+28*35+28*13+28*44</f>
        <v>4172</v>
      </c>
      <c r="E88" s="196">
        <f>28*16+28*45+28*28+28*85+28*9+28*8</f>
        <v>5348</v>
      </c>
      <c r="F88" s="114"/>
      <c r="G88" s="124"/>
      <c r="H88" s="132">
        <f>90*4+276*4</f>
        <v>1464</v>
      </c>
      <c r="I88" s="253">
        <f>1320</f>
        <v>1320</v>
      </c>
      <c r="J88" s="254"/>
      <c r="K88" s="239">
        <f t="shared" si="4"/>
        <v>11514</v>
      </c>
      <c r="L88" s="137">
        <v>5000</v>
      </c>
      <c r="M88" s="136">
        <f>L88-N88</f>
        <v>5000</v>
      </c>
      <c r="N88" s="131">
        <v>0</v>
      </c>
    </row>
    <row r="89" spans="1:17" ht="19.5" thickBot="1" x14ac:dyDescent="0.3">
      <c r="A89" s="56" t="s">
        <v>223</v>
      </c>
      <c r="B89" s="175" t="s">
        <v>224</v>
      </c>
      <c r="C89" s="62">
        <f>28+10+30+28*2-30</f>
        <v>94</v>
      </c>
      <c r="D89" s="125"/>
      <c r="E89" s="138">
        <f>28*56+28*28+28*22+28*28+28*108</f>
        <v>6776</v>
      </c>
      <c r="F89" s="64">
        <f>125*4-30-60</f>
        <v>410</v>
      </c>
      <c r="G89" s="124">
        <f>71*4</f>
        <v>284</v>
      </c>
      <c r="H89" s="132">
        <f>182*4+21*4+33*4+23*4</f>
        <v>1036</v>
      </c>
      <c r="I89" s="253">
        <f>1320</f>
        <v>1320</v>
      </c>
      <c r="J89" s="254"/>
      <c r="K89" s="239">
        <f t="shared" si="4"/>
        <v>8600</v>
      </c>
      <c r="L89" s="137">
        <v>10000</v>
      </c>
      <c r="M89" s="136">
        <f>L89-N89</f>
        <v>9500</v>
      </c>
      <c r="N89" s="135">
        <v>500</v>
      </c>
    </row>
    <row r="90" spans="1:17" ht="16.149999999999999" customHeight="1" thickBot="1" x14ac:dyDescent="0.3">
      <c r="A90" s="56" t="s">
        <v>225</v>
      </c>
      <c r="B90" s="175" t="s">
        <v>226</v>
      </c>
      <c r="C90" s="64">
        <f>28*2+28*4+28*3+28*12-50-60-65-200</f>
        <v>213</v>
      </c>
      <c r="D90" s="204">
        <f>28*18+28*48+28*46</f>
        <v>3136</v>
      </c>
      <c r="E90" s="138">
        <f>28*22+28*30+28*17+28*50+28*3</f>
        <v>3416</v>
      </c>
      <c r="F90" s="62">
        <f>16</f>
        <v>16</v>
      </c>
      <c r="G90" s="124">
        <f>891-16</f>
        <v>875</v>
      </c>
      <c r="H90" s="132">
        <f>103*7+37*5+20*4+121*4+421-891</f>
        <v>1000</v>
      </c>
      <c r="I90" s="253">
        <f>2860</f>
        <v>2860</v>
      </c>
      <c r="J90" s="254"/>
      <c r="K90" s="239">
        <f t="shared" si="4"/>
        <v>8656</v>
      </c>
      <c r="L90" s="137">
        <v>5000</v>
      </c>
      <c r="M90" s="136">
        <f>L90-N90</f>
        <v>2500</v>
      </c>
      <c r="N90" s="135">
        <v>2500</v>
      </c>
    </row>
    <row r="91" spans="1:17" ht="19.5" thickBot="1" x14ac:dyDescent="0.3">
      <c r="A91" s="56"/>
      <c r="B91" s="175" t="s">
        <v>227</v>
      </c>
      <c r="C91" s="62">
        <f>20</f>
        <v>20</v>
      </c>
      <c r="D91" s="139">
        <f>28*28</f>
        <v>784</v>
      </c>
      <c r="E91" s="138">
        <f>28*64+28*30+28*35+28*54</f>
        <v>5124</v>
      </c>
      <c r="F91" s="62">
        <f>65*4</f>
        <v>260</v>
      </c>
      <c r="G91" s="124"/>
      <c r="H91" s="132">
        <f>223*4</f>
        <v>892</v>
      </c>
      <c r="I91" s="253">
        <f>440</f>
        <v>440</v>
      </c>
      <c r="J91" s="254"/>
      <c r="K91" s="239">
        <f t="shared" si="4"/>
        <v>7080</v>
      </c>
      <c r="L91" s="137"/>
      <c r="M91" s="136"/>
      <c r="N91" s="135"/>
      <c r="Q91" s="128"/>
    </row>
    <row r="92" spans="1:17" ht="19.5" thickBot="1" x14ac:dyDescent="0.3">
      <c r="A92" s="109"/>
      <c r="B92" s="175" t="s">
        <v>228</v>
      </c>
      <c r="C92" s="62"/>
      <c r="D92" s="139"/>
      <c r="E92" s="138">
        <f>28*51+28*22</f>
        <v>2044</v>
      </c>
      <c r="F92" s="62"/>
      <c r="G92" s="124"/>
      <c r="H92" s="132">
        <f>97*4+125*4</f>
        <v>888</v>
      </c>
      <c r="I92" s="253">
        <f>2340</f>
        <v>2340</v>
      </c>
      <c r="J92" s="254"/>
      <c r="K92" s="239">
        <f t="shared" si="4"/>
        <v>2932</v>
      </c>
      <c r="L92" s="137"/>
      <c r="M92" s="136"/>
      <c r="N92" s="135"/>
      <c r="Q92" s="128"/>
    </row>
    <row r="93" spans="1:17" ht="19.5" thickBot="1" x14ac:dyDescent="0.3">
      <c r="A93" s="164"/>
      <c r="B93" s="175" t="s">
        <v>229</v>
      </c>
      <c r="C93" s="64"/>
      <c r="D93" s="204"/>
      <c r="E93" s="196"/>
      <c r="F93" s="62"/>
      <c r="G93" s="124"/>
      <c r="H93" s="132"/>
      <c r="I93" s="253"/>
      <c r="J93" s="254"/>
      <c r="K93" s="239">
        <f t="shared" si="4"/>
        <v>0</v>
      </c>
      <c r="L93" s="137"/>
      <c r="M93" s="136"/>
      <c r="N93" s="135"/>
    </row>
    <row r="94" spans="1:17" ht="19.5" thickBot="1" x14ac:dyDescent="0.3">
      <c r="A94" s="164" t="s">
        <v>230</v>
      </c>
      <c r="B94" s="166" t="s">
        <v>231</v>
      </c>
      <c r="C94" s="64">
        <f>28+28*2+28*4</f>
        <v>196</v>
      </c>
      <c r="D94" s="204">
        <f>28*7+28*2</f>
        <v>252</v>
      </c>
      <c r="E94" s="196"/>
      <c r="F94" s="64"/>
      <c r="G94" s="139"/>
      <c r="H94" s="133"/>
      <c r="I94" s="253"/>
      <c r="J94" s="254"/>
      <c r="K94" s="239">
        <f t="shared" si="4"/>
        <v>448</v>
      </c>
      <c r="L94" s="137">
        <v>5000</v>
      </c>
      <c r="M94" s="136">
        <f>L94-N94</f>
        <v>2500</v>
      </c>
      <c r="N94" s="135">
        <v>2500</v>
      </c>
      <c r="Q94" s="128"/>
    </row>
    <row r="95" spans="1:17" ht="19.5" thickBot="1" x14ac:dyDescent="0.3">
      <c r="A95" s="164" t="s">
        <v>232</v>
      </c>
      <c r="B95" s="166" t="s">
        <v>233</v>
      </c>
      <c r="C95" s="61"/>
      <c r="D95" s="236">
        <f>28*3</f>
        <v>84</v>
      </c>
      <c r="E95" s="138"/>
      <c r="F95" s="61"/>
      <c r="G95" s="134"/>
      <c r="H95" s="133"/>
      <c r="I95" s="253"/>
      <c r="J95" s="254"/>
      <c r="K95" s="239">
        <f t="shared" si="4"/>
        <v>84</v>
      </c>
      <c r="L95" s="137">
        <v>3000</v>
      </c>
      <c r="M95" s="131">
        <f>L95-N95</f>
        <v>0</v>
      </c>
      <c r="N95" s="135">
        <v>3000</v>
      </c>
    </row>
    <row r="96" spans="1:17" ht="19.5" thickBot="1" x14ac:dyDescent="0.3">
      <c r="A96" s="164" t="s">
        <v>234</v>
      </c>
      <c r="B96" s="166" t="s">
        <v>235</v>
      </c>
      <c r="C96" s="64">
        <f>28*4-20</f>
        <v>92</v>
      </c>
      <c r="D96" s="198">
        <f>28*23+28*9+28+28*11</f>
        <v>1232</v>
      </c>
      <c r="E96" s="231"/>
      <c r="F96" s="61"/>
      <c r="G96" s="139"/>
      <c r="H96" s="133">
        <f>31</f>
        <v>31</v>
      </c>
      <c r="I96" s="253"/>
      <c r="J96" s="254"/>
      <c r="K96" s="239">
        <f t="shared" ref="K96:K101" si="5">SUM(C96:H96)</f>
        <v>1355</v>
      </c>
    </row>
    <row r="97" spans="1:17" ht="19.5" thickBot="1" x14ac:dyDescent="0.3">
      <c r="A97" s="56" t="s">
        <v>236</v>
      </c>
      <c r="B97" s="55" t="s">
        <v>237</v>
      </c>
      <c r="C97" s="67">
        <f>28*2</f>
        <v>56</v>
      </c>
      <c r="D97" s="204">
        <f>28*3.5+28*70+28*2+28*8+28*6+28*14</f>
        <v>2898</v>
      </c>
      <c r="E97" s="230">
        <f>28*29</f>
        <v>812</v>
      </c>
      <c r="F97" s="64"/>
      <c r="G97" s="134">
        <f>7*4</f>
        <v>28</v>
      </c>
      <c r="H97" s="132"/>
      <c r="I97" s="253">
        <f>1820</f>
        <v>1820</v>
      </c>
      <c r="J97" s="254"/>
      <c r="K97" s="239">
        <f t="shared" si="5"/>
        <v>3794</v>
      </c>
      <c r="L97" s="123"/>
      <c r="M97" s="123"/>
      <c r="N97" s="123"/>
      <c r="Q97" s="128"/>
    </row>
    <row r="98" spans="1:17" ht="19.5" thickBot="1" x14ac:dyDescent="0.3">
      <c r="A98" s="56" t="s">
        <v>238</v>
      </c>
      <c r="B98" s="55" t="s">
        <v>239</v>
      </c>
      <c r="C98" s="64"/>
      <c r="D98" s="198">
        <f>28*49+28*26+28*3+28*17.5+28*44+28*22+28*13+448-480</f>
        <v>4854</v>
      </c>
      <c r="E98" s="196">
        <f>28*22+28*30+28*53+28*17+28*64+28*37+28*8+28*30+28*76</f>
        <v>9436</v>
      </c>
      <c r="F98" s="64"/>
      <c r="G98" s="134">
        <f>7*4+155*4</f>
        <v>648</v>
      </c>
      <c r="H98" s="133">
        <f>57*6+12*7</f>
        <v>426</v>
      </c>
      <c r="I98" s="253"/>
      <c r="J98" s="254"/>
      <c r="K98" s="239">
        <f t="shared" si="5"/>
        <v>15364</v>
      </c>
      <c r="L98" s="123"/>
      <c r="M98" s="123"/>
      <c r="N98" s="123"/>
      <c r="Q98" s="128"/>
    </row>
    <row r="99" spans="1:17" ht="19.5" thickBot="1" x14ac:dyDescent="0.3">
      <c r="A99" s="109" t="s">
        <v>240</v>
      </c>
      <c r="B99" s="108" t="s">
        <v>241</v>
      </c>
      <c r="C99" s="64"/>
      <c r="D99" s="204">
        <f>28*26</f>
        <v>728</v>
      </c>
      <c r="E99" s="196">
        <f>28*38</f>
        <v>1064</v>
      </c>
      <c r="F99" s="64"/>
      <c r="G99" s="134">
        <f>568-70</f>
        <v>498</v>
      </c>
      <c r="H99" s="133"/>
      <c r="I99" s="253">
        <f>260</f>
        <v>260</v>
      </c>
      <c r="J99" s="254"/>
      <c r="K99" s="239">
        <f t="shared" si="5"/>
        <v>2290</v>
      </c>
      <c r="L99" s="123"/>
      <c r="M99" s="123"/>
      <c r="N99" s="123"/>
      <c r="Q99" s="128"/>
    </row>
    <row r="100" spans="1:17" ht="19.5" thickBot="1" x14ac:dyDescent="0.3">
      <c r="A100" s="56" t="s">
        <v>242</v>
      </c>
      <c r="B100" s="55" t="s">
        <v>243</v>
      </c>
      <c r="C100" s="64"/>
      <c r="D100" s="204">
        <f>28*3+28*9+28*22+308-100</f>
        <v>1160</v>
      </c>
      <c r="E100" s="205">
        <f>28*29+28*30</f>
        <v>1652</v>
      </c>
      <c r="F100" s="64">
        <f>126*4</f>
        <v>504</v>
      </c>
      <c r="G100" s="134"/>
      <c r="H100" s="231">
        <f>55*8+40*6</f>
        <v>680</v>
      </c>
      <c r="I100" s="253">
        <f>440</f>
        <v>440</v>
      </c>
      <c r="J100" s="254"/>
      <c r="K100" s="239">
        <f t="shared" si="5"/>
        <v>3996</v>
      </c>
      <c r="L100" s="123"/>
      <c r="M100" s="123"/>
      <c r="N100" s="123"/>
    </row>
    <row r="101" spans="1:17" ht="19.5" thickBot="1" x14ac:dyDescent="0.3">
      <c r="A101" s="56" t="s">
        <v>244</v>
      </c>
      <c r="B101" s="55" t="s">
        <v>245</v>
      </c>
      <c r="C101" s="64"/>
      <c r="D101" s="198">
        <f>28*25+28*44+28*12+28*26+644-1000-100</f>
        <v>2540</v>
      </c>
      <c r="E101" s="205">
        <f>28*10+28*3</f>
        <v>364</v>
      </c>
      <c r="F101" s="64"/>
      <c r="G101" s="231">
        <f>133*4</f>
        <v>532</v>
      </c>
      <c r="H101" s="133">
        <f>53*4+29*4</f>
        <v>328</v>
      </c>
      <c r="I101" s="253"/>
      <c r="J101" s="254"/>
      <c r="K101" s="239">
        <f t="shared" si="5"/>
        <v>3764</v>
      </c>
      <c r="L101" s="123"/>
      <c r="M101" s="123"/>
      <c r="N101" s="123"/>
    </row>
    <row r="102" spans="1:17" ht="19.5" thickBot="1" x14ac:dyDescent="0.3">
      <c r="A102" s="56"/>
      <c r="B102" s="55" t="s">
        <v>587</v>
      </c>
      <c r="C102" s="64"/>
      <c r="D102" s="198"/>
      <c r="E102" s="205"/>
      <c r="F102" s="64"/>
      <c r="G102" s="231"/>
      <c r="H102" s="133"/>
      <c r="I102" s="178"/>
      <c r="J102" s="240"/>
      <c r="K102" s="239"/>
      <c r="L102" s="123"/>
      <c r="M102" s="123"/>
      <c r="N102" s="123"/>
    </row>
    <row r="103" spans="1:17" ht="19.5" thickBot="1" x14ac:dyDescent="0.3">
      <c r="A103" s="164"/>
      <c r="B103" s="166" t="s">
        <v>246</v>
      </c>
      <c r="C103" s="64">
        <f>28*6-100</f>
        <v>68</v>
      </c>
      <c r="D103" s="204">
        <f>28*13</f>
        <v>364</v>
      </c>
      <c r="E103" s="205"/>
      <c r="F103" s="64"/>
      <c r="G103" s="134"/>
      <c r="H103" s="133"/>
      <c r="I103" s="253"/>
      <c r="J103" s="254"/>
      <c r="K103" s="239">
        <f t="shared" ref="K103:K110" si="6">SUM(C103:H103)</f>
        <v>432</v>
      </c>
      <c r="L103" s="123"/>
      <c r="M103" s="123"/>
      <c r="N103" s="123"/>
    </row>
    <row r="104" spans="1:17" ht="19.5" thickBot="1" x14ac:dyDescent="0.3">
      <c r="A104" s="164"/>
      <c r="B104" s="166" t="s">
        <v>247</v>
      </c>
      <c r="C104" s="67"/>
      <c r="D104" s="200"/>
      <c r="E104" s="196"/>
      <c r="F104" s="64"/>
      <c r="G104" s="134"/>
      <c r="H104" s="133"/>
      <c r="I104" s="253"/>
      <c r="J104" s="254"/>
      <c r="K104" s="239">
        <f t="shared" si="6"/>
        <v>0</v>
      </c>
      <c r="L104" s="123"/>
      <c r="M104" s="123"/>
      <c r="N104" s="123"/>
    </row>
    <row r="105" spans="1:17" ht="19.5" thickBot="1" x14ac:dyDescent="0.3">
      <c r="A105" s="164" t="s">
        <v>248</v>
      </c>
      <c r="B105" s="166" t="s">
        <v>249</v>
      </c>
      <c r="C105" s="64">
        <f>28*3+28*2</f>
        <v>140</v>
      </c>
      <c r="D105" s="204"/>
      <c r="E105" s="230">
        <f>28*16+28*27+28*30</f>
        <v>2044</v>
      </c>
      <c r="F105" s="67">
        <f>66*8-68</f>
        <v>460</v>
      </c>
      <c r="G105" s="134"/>
      <c r="H105" s="132">
        <f>56*8+600</f>
        <v>1048</v>
      </c>
      <c r="I105" s="253"/>
      <c r="J105" s="254"/>
      <c r="K105" s="239">
        <f t="shared" si="6"/>
        <v>3692</v>
      </c>
      <c r="L105" s="123"/>
      <c r="M105" s="123"/>
      <c r="N105" s="123"/>
    </row>
    <row r="106" spans="1:17" ht="19.5" thickBot="1" x14ac:dyDescent="0.3">
      <c r="A106" s="164" t="s">
        <v>250</v>
      </c>
      <c r="B106" s="166" t="s">
        <v>251</v>
      </c>
      <c r="C106" s="64">
        <f>28*40</f>
        <v>1120</v>
      </c>
      <c r="D106" s="204">
        <f>28*18+28*16+28*11.5</f>
        <v>1274</v>
      </c>
      <c r="E106" s="230"/>
      <c r="F106" s="64">
        <f>126*8+70*8+19*8+70*8-250</f>
        <v>2030</v>
      </c>
      <c r="G106" s="218"/>
      <c r="H106" s="231">
        <f>91*8+126*8+70*8+30*8+126*8+210*8+70*8+28*8+84*8+25*8+98*8+154*8</f>
        <v>8896</v>
      </c>
      <c r="I106" s="253"/>
      <c r="J106" s="254"/>
      <c r="K106" s="239">
        <f t="shared" si="6"/>
        <v>13320</v>
      </c>
      <c r="L106" s="123"/>
      <c r="M106" s="123"/>
      <c r="N106" s="123"/>
    </row>
    <row r="107" spans="1:17" ht="19.5" thickBot="1" x14ac:dyDescent="0.3">
      <c r="A107" s="164" t="s">
        <v>252</v>
      </c>
      <c r="B107" s="166" t="s">
        <v>253</v>
      </c>
      <c r="C107" s="97"/>
      <c r="D107" s="204"/>
      <c r="E107" s="230"/>
      <c r="F107" s="64"/>
      <c r="G107" s="124"/>
      <c r="H107" s="138"/>
      <c r="I107" s="253"/>
      <c r="J107" s="254"/>
      <c r="K107" s="239">
        <f t="shared" si="6"/>
        <v>0</v>
      </c>
      <c r="L107" s="123"/>
      <c r="M107" s="123"/>
      <c r="N107" s="123"/>
    </row>
    <row r="108" spans="1:17" ht="19.5" thickBot="1" x14ac:dyDescent="0.3">
      <c r="A108" s="164"/>
      <c r="B108" s="166" t="s">
        <v>548</v>
      </c>
      <c r="C108" s="61"/>
      <c r="D108" s="150"/>
      <c r="E108" s="196"/>
      <c r="F108" s="97"/>
      <c r="G108" s="134"/>
      <c r="H108" s="133">
        <f>13*4+75*4+15*4+43*4</f>
        <v>584</v>
      </c>
      <c r="I108" s="253"/>
      <c r="J108" s="254"/>
      <c r="K108" s="239">
        <f t="shared" si="6"/>
        <v>584</v>
      </c>
      <c r="L108" s="123"/>
      <c r="M108" s="123"/>
      <c r="N108" s="123"/>
    </row>
    <row r="109" spans="1:17" ht="19.5" thickBot="1" x14ac:dyDescent="0.3">
      <c r="A109" s="56" t="s">
        <v>254</v>
      </c>
      <c r="B109" s="55" t="s">
        <v>255</v>
      </c>
      <c r="C109" s="61">
        <f>28*2</f>
        <v>56</v>
      </c>
      <c r="D109" s="150">
        <f>28*3+28*13+28*8</f>
        <v>672</v>
      </c>
      <c r="E109" s="196">
        <f>28*13+28*39+28*49+28*49</f>
        <v>4200</v>
      </c>
      <c r="F109" s="63">
        <f>220*4+82*4+32*4+83*4-225</f>
        <v>1443</v>
      </c>
      <c r="G109" s="124"/>
      <c r="H109" s="133">
        <f>105*4</f>
        <v>420</v>
      </c>
      <c r="I109" s="253">
        <f>3120</f>
        <v>3120</v>
      </c>
      <c r="J109" s="254"/>
      <c r="K109" s="239">
        <f t="shared" si="6"/>
        <v>6791</v>
      </c>
      <c r="L109" s="123"/>
      <c r="M109" s="123"/>
      <c r="N109" s="123"/>
    </row>
    <row r="110" spans="1:17" ht="19.5" thickBot="1" x14ac:dyDescent="0.3">
      <c r="A110" s="164"/>
      <c r="B110" s="166" t="s">
        <v>256</v>
      </c>
      <c r="C110" s="61"/>
      <c r="D110" s="150"/>
      <c r="E110" s="196"/>
      <c r="F110" s="61"/>
      <c r="G110" s="124"/>
      <c r="H110" s="133">
        <f>135*4+58*4</f>
        <v>772</v>
      </c>
      <c r="I110" s="253"/>
      <c r="J110" s="254"/>
      <c r="K110" s="239">
        <f t="shared" si="6"/>
        <v>772</v>
      </c>
      <c r="L110" s="123"/>
      <c r="M110" s="123"/>
      <c r="N110" s="123"/>
    </row>
    <row r="111" spans="1:17" ht="19.5" thickBot="1" x14ac:dyDescent="0.3">
      <c r="A111" s="164"/>
      <c r="B111" s="108" t="s">
        <v>573</v>
      </c>
      <c r="C111" s="61"/>
      <c r="D111" s="150"/>
      <c r="E111" s="196"/>
      <c r="F111" s="61">
        <f>78*4</f>
        <v>312</v>
      </c>
      <c r="G111" s="124"/>
      <c r="H111" s="133"/>
      <c r="I111" s="178"/>
      <c r="J111" s="240"/>
      <c r="K111" s="239"/>
      <c r="L111" s="123"/>
      <c r="M111" s="123"/>
      <c r="N111" s="123"/>
    </row>
    <row r="112" spans="1:17" ht="19.5" thickBot="1" x14ac:dyDescent="0.3">
      <c r="A112" s="164"/>
      <c r="B112" s="166" t="s">
        <v>257</v>
      </c>
      <c r="C112" s="62">
        <f>28*24+28*10+28*7+28+28*11</f>
        <v>1484</v>
      </c>
      <c r="D112" s="139"/>
      <c r="E112" s="138"/>
      <c r="F112" s="61"/>
      <c r="G112" s="124"/>
      <c r="H112" s="133"/>
      <c r="I112" s="253">
        <f>2080</f>
        <v>2080</v>
      </c>
      <c r="J112" s="254"/>
      <c r="K112" s="239">
        <f t="shared" ref="K112:K143" si="7">SUM(C112:H112)</f>
        <v>1484</v>
      </c>
      <c r="L112" s="123"/>
      <c r="M112" s="123"/>
      <c r="N112" s="123"/>
    </row>
    <row r="113" spans="1:17" ht="19.5" thickBot="1" x14ac:dyDescent="0.3">
      <c r="A113" s="164"/>
      <c r="B113" s="175" t="s">
        <v>258</v>
      </c>
      <c r="C113" s="64">
        <f>28*32+28*16+28*3+28*4</f>
        <v>1540</v>
      </c>
      <c r="D113" s="198">
        <f>28*7+28*75</f>
        <v>2296</v>
      </c>
      <c r="E113" s="196"/>
      <c r="F113" s="62">
        <f>15</f>
        <v>15</v>
      </c>
      <c r="G113" s="124"/>
      <c r="H113" s="132">
        <f>116*4</f>
        <v>464</v>
      </c>
      <c r="I113" s="253">
        <f>1040</f>
        <v>1040</v>
      </c>
      <c r="J113" s="254"/>
      <c r="K113" s="239">
        <f t="shared" si="7"/>
        <v>4315</v>
      </c>
      <c r="L113" s="123"/>
      <c r="M113" s="123"/>
      <c r="N113" s="123"/>
    </row>
    <row r="114" spans="1:17" ht="19.5" thickBot="1" x14ac:dyDescent="0.3">
      <c r="A114" s="164" t="s">
        <v>259</v>
      </c>
      <c r="B114" s="166" t="s">
        <v>260</v>
      </c>
      <c r="C114" s="64">
        <f>28*16+28*22+29*15-100</f>
        <v>1399</v>
      </c>
      <c r="D114" s="198">
        <f>28*22+28*3+13+28*5</f>
        <v>853</v>
      </c>
      <c r="E114" s="196">
        <f>28*45</f>
        <v>1260</v>
      </c>
      <c r="F114" s="64"/>
      <c r="G114" s="134"/>
      <c r="H114" s="133"/>
      <c r="I114" s="253"/>
      <c r="J114" s="254"/>
      <c r="K114" s="239">
        <f t="shared" si="7"/>
        <v>3512</v>
      </c>
      <c r="L114" s="123"/>
      <c r="M114" s="123"/>
      <c r="N114" s="123"/>
    </row>
    <row r="115" spans="1:17" ht="19.5" thickBot="1" x14ac:dyDescent="0.3">
      <c r="A115" s="164"/>
      <c r="B115" s="166" t="s">
        <v>261</v>
      </c>
      <c r="C115" s="64"/>
      <c r="D115" s="204">
        <f>28*84</f>
        <v>2352</v>
      </c>
      <c r="E115" s="196">
        <f>28*30+28*38+28*17</f>
        <v>2380</v>
      </c>
      <c r="F115" s="64"/>
      <c r="G115" s="134"/>
      <c r="H115" s="133"/>
      <c r="I115" s="253"/>
      <c r="J115" s="254"/>
      <c r="K115" s="239">
        <f t="shared" si="7"/>
        <v>4732</v>
      </c>
      <c r="L115" s="123"/>
      <c r="M115" s="123"/>
      <c r="N115" s="123"/>
    </row>
    <row r="116" spans="1:17" ht="19.5" thickBot="1" x14ac:dyDescent="0.3">
      <c r="A116" s="56"/>
      <c r="B116" s="55" t="s">
        <v>262</v>
      </c>
      <c r="C116" s="64"/>
      <c r="D116" s="198"/>
      <c r="E116" s="205"/>
      <c r="F116" s="64">
        <f>22*8</f>
        <v>176</v>
      </c>
      <c r="G116" s="134">
        <f>42*8</f>
        <v>336</v>
      </c>
      <c r="H116" s="133"/>
      <c r="I116" s="253"/>
      <c r="J116" s="254"/>
      <c r="K116" s="239">
        <f t="shared" si="7"/>
        <v>512</v>
      </c>
      <c r="L116" s="123"/>
      <c r="M116" s="123"/>
      <c r="N116" s="123"/>
    </row>
    <row r="117" spans="1:17" ht="19.5" thickBot="1" x14ac:dyDescent="0.3">
      <c r="A117" s="164" t="s">
        <v>263</v>
      </c>
      <c r="B117" s="166" t="s">
        <v>264</v>
      </c>
      <c r="C117" s="62"/>
      <c r="D117" s="139"/>
      <c r="E117" s="216"/>
      <c r="F117" s="64"/>
      <c r="G117" s="124"/>
      <c r="H117" s="132"/>
      <c r="I117" s="253">
        <f>4400</f>
        <v>4400</v>
      </c>
      <c r="J117" s="254"/>
      <c r="K117" s="239">
        <f t="shared" si="7"/>
        <v>0</v>
      </c>
      <c r="L117" s="123"/>
      <c r="M117" s="123"/>
      <c r="N117" s="123"/>
    </row>
    <row r="118" spans="1:17" ht="19.5" thickBot="1" x14ac:dyDescent="0.3">
      <c r="A118" s="164"/>
      <c r="B118" s="175" t="s">
        <v>265</v>
      </c>
      <c r="C118" s="64"/>
      <c r="D118" s="204"/>
      <c r="E118" s="196"/>
      <c r="F118" s="62"/>
      <c r="G118" s="134"/>
      <c r="H118" s="133">
        <f>101*8+24*8</f>
        <v>1000</v>
      </c>
      <c r="I118" s="253"/>
      <c r="J118" s="254"/>
      <c r="K118" s="239">
        <f t="shared" si="7"/>
        <v>1000</v>
      </c>
      <c r="L118" s="123"/>
      <c r="M118" s="123"/>
      <c r="N118" s="123"/>
    </row>
    <row r="119" spans="1:17" ht="19.5" thickBot="1" x14ac:dyDescent="0.3">
      <c r="A119" s="56" t="s">
        <v>266</v>
      </c>
      <c r="B119" s="55" t="s">
        <v>267</v>
      </c>
      <c r="C119" s="64">
        <f>28+28*12+28*11</f>
        <v>672</v>
      </c>
      <c r="D119" s="204">
        <f>28*34+28*32</f>
        <v>1848</v>
      </c>
      <c r="E119" s="196"/>
      <c r="F119" s="67">
        <f>138*4</f>
        <v>552</v>
      </c>
      <c r="G119" s="134">
        <f>59*4+28*4</f>
        <v>348</v>
      </c>
      <c r="H119" s="132"/>
      <c r="I119" s="253">
        <f>520</f>
        <v>520</v>
      </c>
      <c r="J119" s="254"/>
      <c r="K119" s="239">
        <f t="shared" si="7"/>
        <v>3420</v>
      </c>
      <c r="L119" s="123"/>
      <c r="M119" s="123"/>
      <c r="N119" s="123"/>
    </row>
    <row r="120" spans="1:17" ht="19.5" thickBot="1" x14ac:dyDescent="0.3">
      <c r="A120" s="164" t="s">
        <v>268</v>
      </c>
      <c r="B120" s="166" t="s">
        <v>269</v>
      </c>
      <c r="C120" s="64"/>
      <c r="D120" s="204">
        <f>28*23+28*6-30</f>
        <v>782</v>
      </c>
      <c r="E120" s="196">
        <f>28*30</f>
        <v>840</v>
      </c>
      <c r="F120" s="67">
        <f>30-15</f>
        <v>15</v>
      </c>
      <c r="G120" s="125"/>
      <c r="H120" s="132"/>
      <c r="I120" s="253"/>
      <c r="J120" s="254"/>
      <c r="K120" s="239">
        <f t="shared" si="7"/>
        <v>1637</v>
      </c>
      <c r="L120" s="123"/>
      <c r="M120" s="123"/>
      <c r="N120" s="123"/>
    </row>
    <row r="121" spans="1:17" ht="19.5" thickBot="1" x14ac:dyDescent="0.3">
      <c r="A121" s="56" t="s">
        <v>270</v>
      </c>
      <c r="B121" s="55" t="s">
        <v>271</v>
      </c>
      <c r="C121" s="64">
        <f>28+28*8+28*3+28-175</f>
        <v>189</v>
      </c>
      <c r="D121" s="204">
        <f>28*20+28*32+28*8</f>
        <v>1680</v>
      </c>
      <c r="E121" s="196"/>
      <c r="F121" s="67">
        <f>160</f>
        <v>160</v>
      </c>
      <c r="G121" s="134">
        <f>340</f>
        <v>340</v>
      </c>
      <c r="H121" s="133">
        <f>34*7+61*5+55*5+35*5-500</f>
        <v>493</v>
      </c>
      <c r="I121" s="253"/>
      <c r="J121" s="254"/>
      <c r="K121" s="239">
        <f t="shared" si="7"/>
        <v>2862</v>
      </c>
      <c r="L121" s="123"/>
      <c r="M121" s="123"/>
      <c r="N121" s="123"/>
    </row>
    <row r="122" spans="1:17" ht="19.5" thickBot="1" x14ac:dyDescent="0.3">
      <c r="A122" s="164"/>
      <c r="B122" s="166" t="s">
        <v>272</v>
      </c>
      <c r="C122" s="67"/>
      <c r="D122" s="198"/>
      <c r="E122" s="205"/>
      <c r="F122" s="64">
        <f>24</f>
        <v>24</v>
      </c>
      <c r="G122" s="234"/>
      <c r="H122" s="133"/>
      <c r="I122" s="253"/>
      <c r="J122" s="254"/>
      <c r="K122" s="239">
        <f t="shared" si="7"/>
        <v>24</v>
      </c>
      <c r="L122" s="123"/>
      <c r="M122" s="123"/>
      <c r="N122" s="123"/>
    </row>
    <row r="123" spans="1:17" ht="23.25" customHeight="1" thickBot="1" x14ac:dyDescent="0.3">
      <c r="A123" s="56" t="s">
        <v>273</v>
      </c>
      <c r="B123" s="55" t="s">
        <v>274</v>
      </c>
      <c r="C123" s="64">
        <f>28*13</f>
        <v>364</v>
      </c>
      <c r="D123" s="217">
        <f>28*30</f>
        <v>840</v>
      </c>
      <c r="E123" s="231">
        <f>28*4</f>
        <v>112</v>
      </c>
      <c r="F123" s="64"/>
      <c r="G123" s="231">
        <f>19*4+33*4</f>
        <v>208</v>
      </c>
      <c r="H123" s="133">
        <f>19*4+32*4</f>
        <v>204</v>
      </c>
      <c r="I123" s="253">
        <f>1040</f>
        <v>1040</v>
      </c>
      <c r="J123" s="254"/>
      <c r="K123" s="239">
        <f t="shared" si="7"/>
        <v>1728</v>
      </c>
      <c r="L123" s="123"/>
      <c r="M123" s="123"/>
      <c r="N123" s="123"/>
      <c r="Q123" s="128"/>
    </row>
    <row r="124" spans="1:17" ht="19.5" thickBot="1" x14ac:dyDescent="0.3">
      <c r="A124" s="56" t="s">
        <v>275</v>
      </c>
      <c r="B124" s="55" t="s">
        <v>276</v>
      </c>
      <c r="C124" s="64">
        <f>28*3+28*3-60+28*11</f>
        <v>416</v>
      </c>
      <c r="D124" s="204">
        <f>28*2+28*18</f>
        <v>560</v>
      </c>
      <c r="E124" s="196">
        <f>28*46+28*20+28*20</f>
        <v>2408</v>
      </c>
      <c r="F124" s="64">
        <f>14*4</f>
        <v>56</v>
      </c>
      <c r="G124" s="134">
        <f>21*4</f>
        <v>84</v>
      </c>
      <c r="H124" s="133">
        <f>26*4+271*4</f>
        <v>1188</v>
      </c>
      <c r="I124" s="253">
        <f>260</f>
        <v>260</v>
      </c>
      <c r="J124" s="254"/>
      <c r="K124" s="239">
        <f t="shared" si="7"/>
        <v>4712</v>
      </c>
      <c r="L124" s="137">
        <v>10000</v>
      </c>
      <c r="M124" s="136">
        <f>L124-N124</f>
        <v>7000</v>
      </c>
      <c r="N124" s="135">
        <v>3000</v>
      </c>
    </row>
    <row r="125" spans="1:17" ht="19.5" thickBot="1" x14ac:dyDescent="0.3">
      <c r="A125" s="56"/>
      <c r="B125" s="55" t="s">
        <v>277</v>
      </c>
      <c r="C125" s="62">
        <f>28*5+28*27</f>
        <v>896</v>
      </c>
      <c r="D125" s="139">
        <f>28*16+28*30</f>
        <v>1288</v>
      </c>
      <c r="E125" s="138"/>
      <c r="F125" s="64">
        <f>14*4+85*4+14*4</f>
        <v>452</v>
      </c>
      <c r="G125" s="134"/>
      <c r="H125" s="133">
        <f>97*4</f>
        <v>388</v>
      </c>
      <c r="I125" s="253"/>
      <c r="J125" s="254"/>
      <c r="K125" s="239">
        <f t="shared" si="7"/>
        <v>3024</v>
      </c>
      <c r="L125" s="137"/>
      <c r="M125" s="136"/>
      <c r="N125" s="135"/>
    </row>
    <row r="126" spans="1:17" ht="17.45" customHeight="1" thickBot="1" x14ac:dyDescent="0.3">
      <c r="A126" s="164" t="s">
        <v>278</v>
      </c>
      <c r="B126" s="175" t="s">
        <v>279</v>
      </c>
      <c r="C126" s="64"/>
      <c r="D126" s="198"/>
      <c r="E126" s="196"/>
      <c r="F126" s="62"/>
      <c r="G126" s="134"/>
      <c r="H126" s="133"/>
      <c r="I126" s="253"/>
      <c r="J126" s="254"/>
      <c r="K126" s="239">
        <f t="shared" si="7"/>
        <v>0</v>
      </c>
      <c r="L126" s="122"/>
      <c r="M126" s="121"/>
      <c r="N126" s="120"/>
    </row>
    <row r="127" spans="1:17" ht="19.5" thickBot="1" x14ac:dyDescent="0.3">
      <c r="A127" s="164" t="s">
        <v>280</v>
      </c>
      <c r="B127" s="166" t="s">
        <v>281</v>
      </c>
      <c r="C127" s="64">
        <f>28*4+28*7-60</f>
        <v>248</v>
      </c>
      <c r="D127" s="198">
        <f>28*33+28*5+28*19</f>
        <v>1596</v>
      </c>
      <c r="E127" s="205">
        <f>28*52+28*14+28*8</f>
        <v>2072</v>
      </c>
      <c r="F127" s="64"/>
      <c r="G127" s="134"/>
      <c r="H127" s="133"/>
      <c r="I127" s="263"/>
      <c r="J127" s="264"/>
      <c r="K127" s="239">
        <f t="shared" si="7"/>
        <v>3916</v>
      </c>
      <c r="L127" s="137">
        <v>6000</v>
      </c>
      <c r="M127" s="136">
        <f>L127-N127</f>
        <v>6000</v>
      </c>
      <c r="N127" s="131">
        <v>0</v>
      </c>
    </row>
    <row r="128" spans="1:17" ht="19.5" thickBot="1" x14ac:dyDescent="0.3">
      <c r="A128" s="164"/>
      <c r="B128" s="166" t="s">
        <v>282</v>
      </c>
      <c r="C128" s="64"/>
      <c r="D128" s="198"/>
      <c r="E128" s="205"/>
      <c r="F128" s="64"/>
      <c r="G128" s="134"/>
      <c r="H128" s="133"/>
      <c r="I128" s="253"/>
      <c r="J128" s="254"/>
      <c r="K128" s="239">
        <f t="shared" si="7"/>
        <v>0</v>
      </c>
      <c r="L128" s="137"/>
      <c r="M128" s="136"/>
      <c r="N128" s="131"/>
    </row>
    <row r="129" spans="1:17" ht="19.5" thickBot="1" x14ac:dyDescent="0.3">
      <c r="A129" s="164"/>
      <c r="B129" s="166" t="s">
        <v>283</v>
      </c>
      <c r="C129" s="64"/>
      <c r="D129" s="204">
        <f>28*11</f>
        <v>308</v>
      </c>
      <c r="E129" s="196">
        <f>28*74+28*16</f>
        <v>2520</v>
      </c>
      <c r="F129" s="64"/>
      <c r="G129" s="134"/>
      <c r="H129" s="133"/>
      <c r="I129" s="253"/>
      <c r="J129" s="254"/>
      <c r="K129" s="239">
        <f t="shared" si="7"/>
        <v>2828</v>
      </c>
      <c r="L129" s="137"/>
      <c r="M129" s="136"/>
      <c r="N129" s="131"/>
    </row>
    <row r="130" spans="1:17" ht="19.5" thickBot="1" x14ac:dyDescent="0.3">
      <c r="A130" s="164"/>
      <c r="B130" s="166" t="s">
        <v>284</v>
      </c>
      <c r="C130" s="64"/>
      <c r="D130" s="204"/>
      <c r="E130" s="196"/>
      <c r="F130" s="64"/>
      <c r="G130" s="134"/>
      <c r="H130" s="133"/>
      <c r="I130" s="253"/>
      <c r="J130" s="254"/>
      <c r="K130" s="239">
        <f t="shared" si="7"/>
        <v>0</v>
      </c>
      <c r="L130" s="137"/>
      <c r="M130" s="136"/>
      <c r="N130" s="135"/>
    </row>
    <row r="131" spans="1:17" ht="19.5" thickBot="1" x14ac:dyDescent="0.3">
      <c r="A131" s="164" t="s">
        <v>285</v>
      </c>
      <c r="B131" s="166" t="s">
        <v>286</v>
      </c>
      <c r="C131" s="64"/>
      <c r="D131" s="231"/>
      <c r="E131" s="196"/>
      <c r="F131" s="64"/>
      <c r="G131" s="134"/>
      <c r="H131" s="133"/>
      <c r="I131" s="253"/>
      <c r="J131" s="254"/>
      <c r="K131" s="239">
        <f t="shared" si="7"/>
        <v>0</v>
      </c>
      <c r="L131" s="137">
        <v>5000</v>
      </c>
      <c r="M131" s="136">
        <f>L131-N131</f>
        <v>4500</v>
      </c>
      <c r="N131" s="135">
        <v>500</v>
      </c>
    </row>
    <row r="132" spans="1:17" ht="17.25" customHeight="1" thickBot="1" x14ac:dyDescent="0.3">
      <c r="A132" s="56" t="s">
        <v>288</v>
      </c>
      <c r="B132" s="55" t="s">
        <v>289</v>
      </c>
      <c r="C132" s="64">
        <f>28*12</f>
        <v>336</v>
      </c>
      <c r="D132" s="204">
        <f>28*6</f>
        <v>168</v>
      </c>
      <c r="E132" s="147">
        <f>8*4.5</f>
        <v>36</v>
      </c>
      <c r="F132" s="64">
        <f>84*4+142*4</f>
        <v>904</v>
      </c>
      <c r="G132" s="134"/>
      <c r="H132" s="133"/>
      <c r="I132" s="253"/>
      <c r="J132" s="254"/>
      <c r="K132" s="239">
        <f t="shared" si="7"/>
        <v>1444</v>
      </c>
      <c r="L132" s="137">
        <v>10000</v>
      </c>
      <c r="M132" s="136">
        <f>L132-N132</f>
        <v>6500</v>
      </c>
      <c r="N132" s="135">
        <v>3500</v>
      </c>
    </row>
    <row r="133" spans="1:17" ht="17.25" customHeight="1" thickBot="1" x14ac:dyDescent="0.3">
      <c r="A133" s="56"/>
      <c r="B133" s="55" t="s">
        <v>602</v>
      </c>
      <c r="C133" s="64"/>
      <c r="D133" s="230">
        <f>28*48</f>
        <v>1344</v>
      </c>
      <c r="E133" s="147">
        <f>28*15.5</f>
        <v>434</v>
      </c>
      <c r="F133" s="64"/>
      <c r="G133" s="134"/>
      <c r="H133" s="133"/>
      <c r="I133" s="178"/>
      <c r="J133" s="240"/>
      <c r="K133" s="239"/>
      <c r="L133" s="137"/>
      <c r="M133" s="136"/>
      <c r="N133" s="135"/>
    </row>
    <row r="134" spans="1:17" ht="19.5" thickBot="1" x14ac:dyDescent="0.3">
      <c r="A134" s="56" t="s">
        <v>290</v>
      </c>
      <c r="B134" s="55" t="s">
        <v>291</v>
      </c>
      <c r="C134" s="64"/>
      <c r="D134" s="230">
        <f>28*24-12</f>
        <v>660</v>
      </c>
      <c r="E134" s="147">
        <f>28*53+28*11+28*20+28*22</f>
        <v>2968</v>
      </c>
      <c r="F134" s="64">
        <f>18*4</f>
        <v>72</v>
      </c>
      <c r="G134" s="134"/>
      <c r="H134" s="133">
        <f>77*4</f>
        <v>308</v>
      </c>
      <c r="I134" s="253">
        <f>2200</f>
        <v>2200</v>
      </c>
      <c r="J134" s="254"/>
      <c r="K134" s="239">
        <f t="shared" si="7"/>
        <v>4008</v>
      </c>
      <c r="L134" s="137">
        <v>1000</v>
      </c>
      <c r="M134" s="136">
        <f>L134-N134</f>
        <v>1000</v>
      </c>
      <c r="N134" s="131">
        <v>0</v>
      </c>
    </row>
    <row r="135" spans="1:17" ht="19.5" thickBot="1" x14ac:dyDescent="0.3">
      <c r="A135" s="109"/>
      <c r="B135" s="157" t="s">
        <v>292</v>
      </c>
      <c r="C135" s="64">
        <f>28*9+28*10</f>
        <v>532</v>
      </c>
      <c r="D135" s="236"/>
      <c r="E135" s="147"/>
      <c r="F135" s="64">
        <f>63*8+28*8+76*8+12*8</f>
        <v>1432</v>
      </c>
      <c r="G135" s="134"/>
      <c r="H135" s="133"/>
      <c r="I135" s="253"/>
      <c r="J135" s="254"/>
      <c r="K135" s="239">
        <f t="shared" si="7"/>
        <v>1964</v>
      </c>
      <c r="L135" s="137"/>
      <c r="M135" s="136"/>
      <c r="N135" s="131"/>
    </row>
    <row r="136" spans="1:17" ht="19.5" thickBot="1" x14ac:dyDescent="0.3">
      <c r="A136" s="164"/>
      <c r="B136" s="166" t="s">
        <v>293</v>
      </c>
      <c r="C136" s="64"/>
      <c r="D136" s="236">
        <f>20</f>
        <v>20</v>
      </c>
      <c r="E136" s="149"/>
      <c r="F136" s="64"/>
      <c r="G136" s="134"/>
      <c r="H136" s="133"/>
      <c r="I136" s="253"/>
      <c r="J136" s="254"/>
      <c r="K136" s="239">
        <f t="shared" si="7"/>
        <v>20</v>
      </c>
      <c r="L136" s="137"/>
      <c r="M136" s="136"/>
      <c r="N136" s="131"/>
      <c r="Q136" s="128"/>
    </row>
    <row r="137" spans="1:17" ht="19.5" thickBot="1" x14ac:dyDescent="0.3">
      <c r="A137" s="56"/>
      <c r="B137" s="55" t="s">
        <v>294</v>
      </c>
      <c r="C137" s="64"/>
      <c r="D137" s="230">
        <f>28*2</f>
        <v>56</v>
      </c>
      <c r="E137" s="196">
        <f>28*11+28*30</f>
        <v>1148</v>
      </c>
      <c r="F137" s="67">
        <f>98*4+71*4</f>
        <v>676</v>
      </c>
      <c r="G137" s="134"/>
      <c r="H137" s="133"/>
      <c r="I137" s="253">
        <f>2720</f>
        <v>2720</v>
      </c>
      <c r="J137" s="254"/>
      <c r="K137" s="239">
        <f t="shared" si="7"/>
        <v>1880</v>
      </c>
      <c r="L137" s="137"/>
      <c r="M137" s="136"/>
      <c r="N137" s="131"/>
    </row>
    <row r="138" spans="1:17" ht="19.5" thickBot="1" x14ac:dyDescent="0.3">
      <c r="A138" s="164"/>
      <c r="B138" s="166" t="s">
        <v>295</v>
      </c>
      <c r="C138" s="64"/>
      <c r="D138" s="230"/>
      <c r="E138" s="196"/>
      <c r="F138" s="64"/>
      <c r="G138" s="134"/>
      <c r="H138" s="133"/>
      <c r="I138" s="253"/>
      <c r="J138" s="254"/>
      <c r="K138" s="239">
        <f t="shared" si="7"/>
        <v>0</v>
      </c>
      <c r="L138" s="137"/>
      <c r="M138" s="136"/>
      <c r="N138" s="131"/>
    </row>
    <row r="139" spans="1:17" ht="19.5" thickBot="1" x14ac:dyDescent="0.3">
      <c r="A139" s="164"/>
      <c r="B139" s="166" t="s">
        <v>296</v>
      </c>
      <c r="C139" s="64"/>
      <c r="D139" s="230">
        <f>28*12</f>
        <v>336</v>
      </c>
      <c r="E139" s="196"/>
      <c r="F139" s="64"/>
      <c r="G139" s="134"/>
      <c r="H139" s="133"/>
      <c r="I139" s="253"/>
      <c r="J139" s="254"/>
      <c r="K139" s="239">
        <f t="shared" si="7"/>
        <v>336</v>
      </c>
      <c r="L139" s="137"/>
      <c r="M139" s="136"/>
      <c r="N139" s="131"/>
    </row>
    <row r="140" spans="1:17" ht="19.5" thickBot="1" x14ac:dyDescent="0.3">
      <c r="A140" s="164"/>
      <c r="B140" s="166" t="s">
        <v>297</v>
      </c>
      <c r="C140" s="64">
        <f>27*14</f>
        <v>378</v>
      </c>
      <c r="D140" s="230"/>
      <c r="E140" s="196"/>
      <c r="F140" s="64"/>
      <c r="G140" s="134"/>
      <c r="H140" s="133">
        <f>126</f>
        <v>126</v>
      </c>
      <c r="I140" s="253"/>
      <c r="J140" s="254"/>
      <c r="K140" s="239">
        <f t="shared" si="7"/>
        <v>504</v>
      </c>
      <c r="L140" s="137"/>
      <c r="M140" s="136"/>
      <c r="N140" s="131"/>
    </row>
    <row r="141" spans="1:17" ht="19.5" thickBot="1" x14ac:dyDescent="0.3">
      <c r="A141" s="164"/>
      <c r="B141" s="166" t="s">
        <v>298</v>
      </c>
      <c r="C141" s="62"/>
      <c r="D141" s="139"/>
      <c r="E141" s="138">
        <f>28*15</f>
        <v>420</v>
      </c>
      <c r="F141" s="64"/>
      <c r="G141" s="134"/>
      <c r="H141" s="133"/>
      <c r="I141" s="253"/>
      <c r="J141" s="254"/>
      <c r="K141" s="239">
        <f t="shared" si="7"/>
        <v>420</v>
      </c>
      <c r="L141" s="137"/>
      <c r="M141" s="136"/>
      <c r="N141" s="131"/>
    </row>
    <row r="142" spans="1:17" ht="19.5" thickBot="1" x14ac:dyDescent="0.3">
      <c r="A142" s="165"/>
      <c r="B142" s="175" t="s">
        <v>299</v>
      </c>
      <c r="C142" s="64"/>
      <c r="D142" s="198"/>
      <c r="E142" s="196"/>
      <c r="F142" s="62"/>
      <c r="G142" s="124">
        <f>16*8</f>
        <v>128</v>
      </c>
      <c r="H142" s="132"/>
      <c r="I142" s="253"/>
      <c r="J142" s="254"/>
      <c r="K142" s="239">
        <f t="shared" si="7"/>
        <v>128</v>
      </c>
      <c r="L142" s="137"/>
      <c r="M142" s="136"/>
      <c r="N142" s="135"/>
    </row>
    <row r="143" spans="1:17" ht="19.5" thickBot="1" x14ac:dyDescent="0.3">
      <c r="A143" s="165" t="s">
        <v>300</v>
      </c>
      <c r="B143" s="166" t="s">
        <v>301</v>
      </c>
      <c r="C143" s="64">
        <f>28*5+28*7-45</f>
        <v>291</v>
      </c>
      <c r="D143" s="148">
        <f>28*5+28*3+28*20+28*60+28*19</f>
        <v>2996</v>
      </c>
      <c r="E143" s="196">
        <f>28*8</f>
        <v>224</v>
      </c>
      <c r="F143" s="64">
        <f>26*4+77*4+245*4+64*4</f>
        <v>1648</v>
      </c>
      <c r="G143" s="134">
        <f>75*8</f>
        <v>600</v>
      </c>
      <c r="H143" s="133"/>
      <c r="I143" s="253">
        <f>12315</f>
        <v>12315</v>
      </c>
      <c r="J143" s="254"/>
      <c r="K143" s="239">
        <f t="shared" si="7"/>
        <v>5759</v>
      </c>
      <c r="L143" s="137">
        <v>10000</v>
      </c>
      <c r="M143" s="136">
        <f>L143-N143</f>
        <v>5000</v>
      </c>
      <c r="N143" s="135">
        <v>5000</v>
      </c>
    </row>
    <row r="144" spans="1:17" ht="19.5" thickBot="1" x14ac:dyDescent="0.3">
      <c r="A144" s="113" t="s">
        <v>302</v>
      </c>
      <c r="B144" s="108" t="s">
        <v>303</v>
      </c>
      <c r="C144" s="64">
        <f>28*15</f>
        <v>420</v>
      </c>
      <c r="D144" s="235">
        <f>28*41+28*26</f>
        <v>1876</v>
      </c>
      <c r="E144" s="230">
        <f>28*67+28*23+28*53+28*53+28*37</f>
        <v>6524</v>
      </c>
      <c r="F144" s="64">
        <f>114*4+392*4+27*4+12*4</f>
        <v>2180</v>
      </c>
      <c r="G144" s="134"/>
      <c r="H144" s="138"/>
      <c r="I144" s="253"/>
      <c r="J144" s="254"/>
      <c r="K144" s="239">
        <f t="shared" ref="K144:K170" si="8">SUM(C144:H144)</f>
        <v>11000</v>
      </c>
      <c r="L144" s="137">
        <v>10000</v>
      </c>
      <c r="M144" s="136">
        <f>L144-N144</f>
        <v>5000</v>
      </c>
      <c r="N144" s="135">
        <v>5000</v>
      </c>
    </row>
    <row r="145" spans="1:17" ht="19.5" thickBot="1" x14ac:dyDescent="0.3">
      <c r="A145" s="165"/>
      <c r="B145" s="108" t="s">
        <v>390</v>
      </c>
      <c r="C145" s="67"/>
      <c r="D145" s="237"/>
      <c r="E145" s="232">
        <f>28*14</f>
        <v>392</v>
      </c>
      <c r="F145" s="64"/>
      <c r="G145" s="231"/>
      <c r="H145" s="138"/>
      <c r="I145" s="253"/>
      <c r="J145" s="254"/>
      <c r="K145" s="239">
        <f t="shared" si="8"/>
        <v>392</v>
      </c>
      <c r="L145" s="137"/>
      <c r="M145" s="136"/>
      <c r="N145" s="135"/>
    </row>
    <row r="146" spans="1:17" ht="19.5" thickBot="1" x14ac:dyDescent="0.3">
      <c r="A146" s="57" t="s">
        <v>305</v>
      </c>
      <c r="B146" s="55" t="s">
        <v>306</v>
      </c>
      <c r="C146" s="64"/>
      <c r="D146" s="204">
        <f>28*24+28*20+28*42.5+28*121-700</f>
        <v>5110</v>
      </c>
      <c r="E146" s="231">
        <f>28*32+28*44</f>
        <v>2128</v>
      </c>
      <c r="F146" s="64">
        <f>13</f>
        <v>13</v>
      </c>
      <c r="G146" s="169"/>
      <c r="H146" s="168">
        <f>491*4</f>
        <v>1964</v>
      </c>
      <c r="I146" s="253"/>
      <c r="J146" s="254"/>
      <c r="K146" s="239">
        <f t="shared" si="8"/>
        <v>9215</v>
      </c>
      <c r="L146" s="137">
        <v>20000</v>
      </c>
      <c r="M146" s="136">
        <f>L146-N146</f>
        <v>15000</v>
      </c>
      <c r="N146" s="135">
        <v>5000</v>
      </c>
    </row>
    <row r="147" spans="1:17" ht="19.5" thickBot="1" x14ac:dyDescent="0.3">
      <c r="A147" s="165"/>
      <c r="B147" s="166" t="s">
        <v>307</v>
      </c>
      <c r="C147" s="64"/>
      <c r="D147" s="204"/>
      <c r="E147" s="230"/>
      <c r="F147" s="64"/>
      <c r="G147" s="169"/>
      <c r="H147" s="168"/>
      <c r="I147" s="253"/>
      <c r="J147" s="254"/>
      <c r="K147" s="239">
        <f t="shared" si="8"/>
        <v>0</v>
      </c>
      <c r="L147" s="137"/>
      <c r="M147" s="136"/>
      <c r="N147" s="135"/>
    </row>
    <row r="148" spans="1:17" ht="19.5" thickBot="1" x14ac:dyDescent="0.3">
      <c r="A148" s="113" t="s">
        <v>308</v>
      </c>
      <c r="B148" s="108" t="s">
        <v>309</v>
      </c>
      <c r="C148" s="61"/>
      <c r="D148" s="231">
        <f>28*22</f>
        <v>616</v>
      </c>
      <c r="E148" s="217"/>
      <c r="F148" s="215"/>
      <c r="G148" s="169">
        <f>36*4+22*4</f>
        <v>232</v>
      </c>
      <c r="H148" s="133">
        <f>22*4+262*4+52*4+22*4</f>
        <v>1432</v>
      </c>
      <c r="I148" s="253"/>
      <c r="J148" s="254"/>
      <c r="K148" s="239">
        <f t="shared" si="8"/>
        <v>2280</v>
      </c>
      <c r="L148" s="137">
        <v>30000</v>
      </c>
      <c r="M148" s="136">
        <f>L148-N148</f>
        <v>30000</v>
      </c>
      <c r="N148" s="131">
        <v>0</v>
      </c>
      <c r="P148" s="128"/>
    </row>
    <row r="149" spans="1:17" ht="19.5" thickBot="1" x14ac:dyDescent="0.3">
      <c r="A149" s="113"/>
      <c r="B149" s="108" t="s">
        <v>588</v>
      </c>
      <c r="C149" s="61"/>
      <c r="D149" s="231"/>
      <c r="E149" s="230">
        <f>28*76</f>
        <v>2128</v>
      </c>
      <c r="F149" s="215"/>
      <c r="G149" s="169"/>
      <c r="H149" s="133"/>
      <c r="I149" s="178"/>
      <c r="J149" s="240"/>
      <c r="K149" s="239"/>
      <c r="L149" s="137"/>
      <c r="M149" s="136"/>
      <c r="N149" s="131"/>
      <c r="P149" s="128"/>
    </row>
    <row r="150" spans="1:17" ht="19.5" thickBot="1" x14ac:dyDescent="0.3">
      <c r="A150" s="165"/>
      <c r="B150" s="166" t="s">
        <v>310</v>
      </c>
      <c r="C150" s="64"/>
      <c r="D150" s="231"/>
      <c r="E150" s="230"/>
      <c r="F150" s="64"/>
      <c r="G150" s="169"/>
      <c r="H150" s="133"/>
      <c r="I150" s="253"/>
      <c r="J150" s="254"/>
      <c r="K150" s="239">
        <f t="shared" si="8"/>
        <v>0</v>
      </c>
      <c r="L150" s="137"/>
      <c r="M150" s="136"/>
      <c r="N150" s="131"/>
    </row>
    <row r="151" spans="1:17" ht="19.5" thickBot="1" x14ac:dyDescent="0.3">
      <c r="A151" s="165"/>
      <c r="B151" s="166" t="s">
        <v>311</v>
      </c>
      <c r="C151" s="64"/>
      <c r="D151" s="204"/>
      <c r="E151" s="230"/>
      <c r="F151" s="64"/>
      <c r="G151" s="169"/>
      <c r="H151" s="133"/>
      <c r="I151" s="253"/>
      <c r="J151" s="254"/>
      <c r="K151" s="239">
        <f t="shared" si="8"/>
        <v>0</v>
      </c>
      <c r="L151" s="137"/>
      <c r="M151" s="136"/>
      <c r="N151" s="131"/>
    </row>
    <row r="152" spans="1:17" ht="19.5" thickBot="1" x14ac:dyDescent="0.3">
      <c r="A152" s="165"/>
      <c r="B152" s="166" t="s">
        <v>312</v>
      </c>
      <c r="C152" s="64">
        <f>28*5+14*16+28*15+28*54-1400</f>
        <v>896</v>
      </c>
      <c r="D152" s="204"/>
      <c r="E152" s="230">
        <f>28*20+28*19+28*20+28*23</f>
        <v>2296</v>
      </c>
      <c r="F152" s="64"/>
      <c r="G152" s="169"/>
      <c r="H152" s="133"/>
      <c r="I152" s="253"/>
      <c r="J152" s="254"/>
      <c r="K152" s="239">
        <f t="shared" si="8"/>
        <v>3192</v>
      </c>
      <c r="L152" s="137"/>
      <c r="M152" s="136"/>
      <c r="N152" s="131"/>
    </row>
    <row r="153" spans="1:17" ht="19.5" thickBot="1" x14ac:dyDescent="0.3">
      <c r="A153" s="113"/>
      <c r="B153" s="108" t="s">
        <v>313</v>
      </c>
      <c r="C153" s="62">
        <f>28*19+8*2+28*62+28*8+30*22+28*14</f>
        <v>3560</v>
      </c>
      <c r="D153" s="139">
        <f>28*10</f>
        <v>280</v>
      </c>
      <c r="E153" s="138"/>
      <c r="F153" s="67">
        <f>98*4</f>
        <v>392</v>
      </c>
      <c r="G153" s="169"/>
      <c r="H153" s="133"/>
      <c r="I153" s="253"/>
      <c r="J153" s="254"/>
      <c r="K153" s="239">
        <f t="shared" si="8"/>
        <v>4232</v>
      </c>
      <c r="L153" s="137"/>
      <c r="M153" s="136"/>
      <c r="N153" s="131"/>
      <c r="Q153" s="128"/>
    </row>
    <row r="154" spans="1:17" ht="19.5" thickBot="1" x14ac:dyDescent="0.3">
      <c r="A154" s="57"/>
      <c r="B154" s="55" t="s">
        <v>314</v>
      </c>
      <c r="C154" s="64">
        <f>28*19.5+28*5+30*4+28*3+28*7</f>
        <v>1086</v>
      </c>
      <c r="D154" s="204"/>
      <c r="E154" s="196">
        <f>28*53+28*33</f>
        <v>2408</v>
      </c>
      <c r="F154" s="215">
        <f>224*4+30*4+40*4+85*4</f>
        <v>1516</v>
      </c>
      <c r="G154" s="169"/>
      <c r="H154" s="133"/>
      <c r="I154" s="253">
        <f>2080</f>
        <v>2080</v>
      </c>
      <c r="J154" s="254"/>
      <c r="K154" s="239">
        <f t="shared" si="8"/>
        <v>5010</v>
      </c>
      <c r="L154" s="137"/>
      <c r="M154" s="136"/>
      <c r="N154" s="131"/>
      <c r="Q154" s="128"/>
    </row>
    <row r="155" spans="1:17" ht="19.5" thickBot="1" x14ac:dyDescent="0.3">
      <c r="A155" s="57" t="s">
        <v>315</v>
      </c>
      <c r="B155" s="55" t="s">
        <v>316</v>
      </c>
      <c r="C155" s="67">
        <f>28*32+28</f>
        <v>924</v>
      </c>
      <c r="D155" s="198"/>
      <c r="E155" s="205">
        <f>28*16+28*25.5</f>
        <v>1162</v>
      </c>
      <c r="F155" s="62">
        <f>147*4</f>
        <v>588</v>
      </c>
      <c r="G155" s="231"/>
      <c r="H155" s="132">
        <f>85*4+56*4</f>
        <v>564</v>
      </c>
      <c r="I155" s="253"/>
      <c r="J155" s="254"/>
      <c r="K155" s="239">
        <f t="shared" si="8"/>
        <v>3238</v>
      </c>
      <c r="L155" s="137"/>
      <c r="M155" s="136"/>
      <c r="N155" s="131"/>
      <c r="Q155" s="128"/>
    </row>
    <row r="156" spans="1:17" ht="19.5" thickBot="1" x14ac:dyDescent="0.3">
      <c r="A156" s="113" t="s">
        <v>317</v>
      </c>
      <c r="B156" s="108" t="s">
        <v>318</v>
      </c>
      <c r="C156" s="67">
        <f>28*2.8+28*3+28*25</f>
        <v>862.4</v>
      </c>
      <c r="D156" s="198">
        <f>28*15</f>
        <v>420</v>
      </c>
      <c r="E156" s="205"/>
      <c r="F156" s="64">
        <f>95*4</f>
        <v>380</v>
      </c>
      <c r="G156" s="124">
        <f>49*4+266*4+75*4</f>
        <v>1560</v>
      </c>
      <c r="H156" s="133">
        <f>152*4+75*4</f>
        <v>908</v>
      </c>
      <c r="I156" s="265"/>
      <c r="J156" s="254"/>
      <c r="K156" s="239">
        <f t="shared" si="8"/>
        <v>4130.3999999999996</v>
      </c>
      <c r="L156" s="137">
        <v>5000</v>
      </c>
      <c r="M156" s="136">
        <f>L156-N156</f>
        <v>4000</v>
      </c>
      <c r="N156" s="135">
        <v>1000</v>
      </c>
    </row>
    <row r="157" spans="1:17" ht="19.5" thickBot="1" x14ac:dyDescent="0.3">
      <c r="A157" s="113" t="s">
        <v>319</v>
      </c>
      <c r="B157" s="108" t="s">
        <v>320</v>
      </c>
      <c r="C157" s="64"/>
      <c r="D157" s="150">
        <f>28*49+28*26+28*10+28*8+728</f>
        <v>3332</v>
      </c>
      <c r="E157" s="197">
        <f>28*17+28*26+28*20+28*14+28*47+28*72+28*19</f>
        <v>6020</v>
      </c>
      <c r="F157" s="64"/>
      <c r="G157" s="180">
        <f>1200-17-25</f>
        <v>1158</v>
      </c>
      <c r="H157" s="132">
        <f>15*4+32*4+34*4+70*4+154*4</f>
        <v>1220</v>
      </c>
      <c r="I157" s="179">
        <f>11305</f>
        <v>11305</v>
      </c>
      <c r="J157" s="241"/>
      <c r="K157" s="239">
        <f t="shared" si="8"/>
        <v>11730</v>
      </c>
      <c r="L157" s="137"/>
      <c r="M157" s="136"/>
      <c r="N157" s="135"/>
    </row>
    <row r="158" spans="1:17" ht="19.5" thickBot="1" x14ac:dyDescent="0.3">
      <c r="A158" s="113"/>
      <c r="B158" s="108" t="s">
        <v>321</v>
      </c>
      <c r="C158" s="67"/>
      <c r="D158" s="148"/>
      <c r="E158" s="231"/>
      <c r="F158" s="67"/>
      <c r="G158" s="124"/>
      <c r="H158" s="132"/>
      <c r="I158" s="253"/>
      <c r="J158" s="254"/>
      <c r="K158" s="239">
        <f t="shared" si="8"/>
        <v>0</v>
      </c>
      <c r="L158" s="137"/>
      <c r="M158" s="136"/>
      <c r="N158" s="135"/>
    </row>
    <row r="159" spans="1:17" ht="19.5" thickBot="1" x14ac:dyDescent="0.3">
      <c r="A159" s="57" t="s">
        <v>322</v>
      </c>
      <c r="B159" s="55" t="s">
        <v>323</v>
      </c>
      <c r="C159" s="67"/>
      <c r="D159" s="150">
        <f>28*11+28*12+28*87+28*6+28*3+28*32+1500-640</f>
        <v>5088</v>
      </c>
      <c r="E159" s="196">
        <f>28*112+28*60+28*7+28*50+28*88</f>
        <v>8876</v>
      </c>
      <c r="F159" s="60"/>
      <c r="G159" s="139">
        <f>20</f>
        <v>20</v>
      </c>
      <c r="H159" s="167"/>
      <c r="I159" s="253">
        <f>4840</f>
        <v>4840</v>
      </c>
      <c r="J159" s="254"/>
      <c r="K159" s="239">
        <f t="shared" si="8"/>
        <v>13984</v>
      </c>
      <c r="L159" s="137"/>
      <c r="M159" s="136"/>
      <c r="N159" s="135"/>
      <c r="Q159" s="128"/>
    </row>
    <row r="160" spans="1:17" ht="19.5" thickBot="1" x14ac:dyDescent="0.3">
      <c r="A160" s="57" t="s">
        <v>324</v>
      </c>
      <c r="B160" s="55" t="s">
        <v>325</v>
      </c>
      <c r="C160" s="67">
        <f>30</f>
        <v>30</v>
      </c>
      <c r="D160" s="146">
        <f>28*3</f>
        <v>84</v>
      </c>
      <c r="E160" s="196"/>
      <c r="F160" s="63"/>
      <c r="G160" s="124"/>
      <c r="H160" s="132"/>
      <c r="I160" s="253"/>
      <c r="J160" s="254"/>
      <c r="K160" s="239">
        <f t="shared" si="8"/>
        <v>114</v>
      </c>
      <c r="L160" s="137">
        <v>25000</v>
      </c>
      <c r="M160" s="136">
        <f>L160-N160</f>
        <v>5000</v>
      </c>
      <c r="N160" s="135">
        <v>20000</v>
      </c>
    </row>
    <row r="161" spans="1:17" ht="19.5" thickBot="1" x14ac:dyDescent="0.3">
      <c r="A161" s="57" t="s">
        <v>326</v>
      </c>
      <c r="B161" s="55" t="s">
        <v>327</v>
      </c>
      <c r="C161" s="101"/>
      <c r="D161" s="209">
        <f>28*3.5+28*71</f>
        <v>2086</v>
      </c>
      <c r="E161" s="210">
        <f>28*154+28*37+28*78+28*45+28*25+28*93+28*30+28*28+28*51+28*66+62*14+98*14</f>
        <v>19236</v>
      </c>
      <c r="F161" s="60">
        <f>25</f>
        <v>25</v>
      </c>
      <c r="G161" s="211"/>
      <c r="H161" s="212">
        <f>31*4+189*4+81*7+64*5</f>
        <v>1767</v>
      </c>
      <c r="I161" s="253">
        <f>6160</f>
        <v>6160</v>
      </c>
      <c r="J161" s="254"/>
      <c r="K161" s="239">
        <f t="shared" si="8"/>
        <v>23114</v>
      </c>
      <c r="L161" s="137">
        <v>35000</v>
      </c>
      <c r="M161" s="136">
        <f>L161-N161</f>
        <v>26000</v>
      </c>
      <c r="N161" s="135">
        <v>9000</v>
      </c>
    </row>
    <row r="162" spans="1:17" ht="19.5" thickBot="1" x14ac:dyDescent="0.3">
      <c r="A162" s="57" t="s">
        <v>328</v>
      </c>
      <c r="B162" s="55" t="s">
        <v>329</v>
      </c>
      <c r="C162" s="195"/>
      <c r="D162" s="198">
        <f>28*2+28*18+28*50+28*23+28*19+1176-90</f>
        <v>4222</v>
      </c>
      <c r="E162" s="196">
        <f>28*40</f>
        <v>1120</v>
      </c>
      <c r="F162" s="60"/>
      <c r="G162" s="124"/>
      <c r="H162" s="132">
        <f>62*4+27*4+11*4+16*4+101*4+20*4</f>
        <v>948</v>
      </c>
      <c r="I162" s="253">
        <f>880</f>
        <v>880</v>
      </c>
      <c r="J162" s="254"/>
      <c r="K162" s="239">
        <f t="shared" si="8"/>
        <v>6290</v>
      </c>
      <c r="L162" s="137">
        <v>5000</v>
      </c>
      <c r="M162" s="136">
        <f>L162-N162</f>
        <v>5000</v>
      </c>
      <c r="N162" s="131">
        <v>0</v>
      </c>
    </row>
    <row r="163" spans="1:17" ht="19.5" thickBot="1" x14ac:dyDescent="0.3">
      <c r="A163" s="113" t="s">
        <v>330</v>
      </c>
      <c r="B163" s="108" t="s">
        <v>331</v>
      </c>
      <c r="C163" s="67">
        <f>28*2+28*16</f>
        <v>504</v>
      </c>
      <c r="D163" s="148">
        <f>28*4+28*26</f>
        <v>840</v>
      </c>
      <c r="E163" s="196">
        <f>28*28+28*35+28*27</f>
        <v>2520</v>
      </c>
      <c r="F163" s="60"/>
      <c r="G163" s="134"/>
      <c r="H163" s="138">
        <f>188*4+704</f>
        <v>1456</v>
      </c>
      <c r="I163" s="253">
        <f>10560</f>
        <v>10560</v>
      </c>
      <c r="J163" s="254"/>
      <c r="K163" s="239">
        <f t="shared" si="8"/>
        <v>5320</v>
      </c>
      <c r="L163" s="137"/>
      <c r="M163" s="136"/>
      <c r="N163" s="135"/>
    </row>
    <row r="164" spans="1:17" ht="19.5" thickBot="1" x14ac:dyDescent="0.3">
      <c r="A164" s="57" t="s">
        <v>332</v>
      </c>
      <c r="B164" s="55" t="s">
        <v>333</v>
      </c>
      <c r="C164" s="67">
        <f>100+28+28*2</f>
        <v>184</v>
      </c>
      <c r="D164" s="148">
        <f>28*35</f>
        <v>980</v>
      </c>
      <c r="E164" s="196">
        <f>28*75+28*37+28*42+28*36+28*32</f>
        <v>6216</v>
      </c>
      <c r="F164" s="60"/>
      <c r="G164" s="134"/>
      <c r="H164" s="133">
        <f>63*4+259*4</f>
        <v>1288</v>
      </c>
      <c r="I164" s="253"/>
      <c r="J164" s="254"/>
      <c r="K164" s="239">
        <f t="shared" si="8"/>
        <v>8668</v>
      </c>
      <c r="L164" s="137">
        <v>3500</v>
      </c>
      <c r="M164" s="136">
        <f>L164-N164</f>
        <v>2500</v>
      </c>
      <c r="N164" s="135">
        <v>1000</v>
      </c>
    </row>
    <row r="165" spans="1:17" ht="19.5" thickBot="1" x14ac:dyDescent="0.3">
      <c r="A165" s="57" t="s">
        <v>591</v>
      </c>
      <c r="B165" s="55" t="s">
        <v>592</v>
      </c>
      <c r="C165" s="67"/>
      <c r="D165" s="222"/>
      <c r="E165" s="196">
        <f>28*13.5</f>
        <v>378</v>
      </c>
      <c r="F165" s="63"/>
      <c r="G165" s="134"/>
      <c r="H165" s="133"/>
      <c r="I165" s="178"/>
      <c r="J165" s="240"/>
      <c r="K165" s="239"/>
      <c r="L165" s="137"/>
      <c r="M165" s="136"/>
      <c r="N165" s="135"/>
    </row>
    <row r="166" spans="1:17" ht="19.5" thickBot="1" x14ac:dyDescent="0.3">
      <c r="A166" s="57" t="s">
        <v>334</v>
      </c>
      <c r="B166" s="55" t="s">
        <v>335</v>
      </c>
      <c r="C166" s="64">
        <f>28*9+28+28*50+28*38+28*8-10</f>
        <v>2958</v>
      </c>
      <c r="D166" s="222"/>
      <c r="E166" s="196"/>
      <c r="F166" s="224">
        <f>172*4+70*4+10*4+84*4</f>
        <v>1344</v>
      </c>
      <c r="G166" s="134"/>
      <c r="H166" s="138"/>
      <c r="I166" s="253">
        <f>1040</f>
        <v>1040</v>
      </c>
      <c r="J166" s="254"/>
      <c r="K166" s="239">
        <f t="shared" si="8"/>
        <v>4302</v>
      </c>
      <c r="L166" s="137">
        <v>10000</v>
      </c>
      <c r="M166" s="136">
        <f>L166-N166</f>
        <v>9000</v>
      </c>
      <c r="N166" s="135">
        <v>1000</v>
      </c>
      <c r="Q166" s="128"/>
    </row>
    <row r="167" spans="1:17" ht="19.5" thickBot="1" x14ac:dyDescent="0.3">
      <c r="A167" s="57"/>
      <c r="B167" s="55" t="s">
        <v>336</v>
      </c>
      <c r="C167" s="64"/>
      <c r="D167" s="204">
        <f>28*3+28*35.5+28*27+28*4+28*2</f>
        <v>2002</v>
      </c>
      <c r="E167" s="214"/>
      <c r="F167" s="177"/>
      <c r="G167" s="134"/>
      <c r="H167" s="138">
        <f>321*4</f>
        <v>1284</v>
      </c>
      <c r="I167" s="253"/>
      <c r="J167" s="254"/>
      <c r="K167" s="239">
        <f t="shared" si="8"/>
        <v>3286</v>
      </c>
      <c r="L167" s="137">
        <v>4000</v>
      </c>
      <c r="M167" s="131">
        <f>L167-N167</f>
        <v>0</v>
      </c>
      <c r="N167" s="135">
        <v>4000</v>
      </c>
      <c r="Q167" s="128"/>
    </row>
    <row r="168" spans="1:17" ht="19.5" thickBot="1" x14ac:dyDescent="0.3">
      <c r="A168" s="156"/>
      <c r="B168" s="55" t="s">
        <v>537</v>
      </c>
      <c r="C168" s="64"/>
      <c r="D168" s="139"/>
      <c r="E168" s="196"/>
      <c r="F168" s="60"/>
      <c r="G168" s="134"/>
      <c r="H168" s="138">
        <f>34*8+24*8</f>
        <v>464</v>
      </c>
      <c r="I168" s="253"/>
      <c r="J168" s="254"/>
      <c r="K168" s="239">
        <f t="shared" si="8"/>
        <v>464</v>
      </c>
      <c r="L168" s="137"/>
      <c r="M168" s="131"/>
      <c r="N168" s="135"/>
    </row>
    <row r="169" spans="1:17" ht="19.5" thickBot="1" x14ac:dyDescent="0.3">
      <c r="A169" s="156"/>
      <c r="B169" s="55" t="s">
        <v>337</v>
      </c>
      <c r="C169" s="64"/>
      <c r="D169" s="139"/>
      <c r="E169" s="196"/>
      <c r="F169" s="60">
        <f>51*8+12*8+56*8</f>
        <v>952</v>
      </c>
      <c r="G169" s="134"/>
      <c r="H169" s="138">
        <f>119*8+53*8</f>
        <v>1376</v>
      </c>
      <c r="I169" s="253"/>
      <c r="J169" s="254"/>
      <c r="K169" s="239">
        <f t="shared" si="8"/>
        <v>2328</v>
      </c>
      <c r="L169" s="137"/>
      <c r="M169" s="131"/>
      <c r="N169" s="135"/>
    </row>
    <row r="170" spans="1:17" ht="19.5" thickBot="1" x14ac:dyDescent="0.3">
      <c r="A170" s="58" t="s">
        <v>338</v>
      </c>
      <c r="B170" s="55" t="s">
        <v>339</v>
      </c>
      <c r="C170" s="103"/>
      <c r="D170" s="198"/>
      <c r="E170" s="205"/>
      <c r="F170" s="102"/>
      <c r="G170" s="139">
        <f>6*8</f>
        <v>48</v>
      </c>
      <c r="H170" s="132">
        <f>84*8+54*8</f>
        <v>1104</v>
      </c>
      <c r="I170" s="263"/>
      <c r="J170" s="264"/>
      <c r="K170" s="239">
        <f t="shared" si="8"/>
        <v>1152</v>
      </c>
      <c r="L170" s="137">
        <v>2000</v>
      </c>
      <c r="M170" s="136">
        <f>L170-N170</f>
        <v>1000</v>
      </c>
      <c r="N170" s="135">
        <v>1000</v>
      </c>
    </row>
    <row r="171" spans="1:17" ht="18" customHeight="1" thickBot="1" x14ac:dyDescent="0.3">
      <c r="A171" s="110"/>
      <c r="C171" s="7">
        <f t="shared" ref="C171:J171" si="9">SUM(C3:C170)</f>
        <v>59492.4</v>
      </c>
      <c r="D171" s="7">
        <f t="shared" si="9"/>
        <v>143938</v>
      </c>
      <c r="E171" s="7">
        <f t="shared" si="9"/>
        <v>223830</v>
      </c>
      <c r="F171" s="7">
        <f t="shared" si="9"/>
        <v>49200</v>
      </c>
      <c r="G171" s="7">
        <f t="shared" si="9"/>
        <v>21110</v>
      </c>
      <c r="H171" s="7">
        <f t="shared" si="9"/>
        <v>71954</v>
      </c>
      <c r="I171" s="7">
        <f t="shared" si="9"/>
        <v>128520</v>
      </c>
      <c r="J171" s="7">
        <f t="shared" si="9"/>
        <v>0</v>
      </c>
      <c r="L171" s="119"/>
      <c r="M171" s="136"/>
      <c r="N171" s="135"/>
    </row>
    <row r="172" spans="1:17" ht="0.75" customHeight="1" thickBot="1" x14ac:dyDescent="0.3">
      <c r="A172" s="112"/>
      <c r="B172" s="16" t="s">
        <v>88</v>
      </c>
      <c r="C172" s="16">
        <f>72*14</f>
        <v>1008</v>
      </c>
      <c r="D172" s="16"/>
      <c r="E172" s="16"/>
      <c r="F172" s="16">
        <f>SUM(F3:F170)</f>
        <v>49200</v>
      </c>
      <c r="G172" s="16">
        <f>SUM(G5:G171)</f>
        <v>42220</v>
      </c>
      <c r="H172" s="16">
        <f>SUM(H3:H170)</f>
        <v>71954</v>
      </c>
      <c r="I172" s="16">
        <f>SUM(I3:I170)</f>
        <v>128520</v>
      </c>
      <c r="J172" s="16">
        <f>SUM(J3:J170)</f>
        <v>0</v>
      </c>
      <c r="K172" s="16">
        <f>SUM(K3:K170)</f>
        <v>552173.4</v>
      </c>
      <c r="L172" s="123"/>
      <c r="M172" s="123"/>
      <c r="N172" s="123"/>
    </row>
    <row r="173" spans="1:17" ht="35.450000000000003" customHeight="1" thickBot="1" x14ac:dyDescent="0.3">
      <c r="B173" s="16" t="s">
        <v>340</v>
      </c>
      <c r="C173" s="247">
        <f>E171+D171+C171</f>
        <v>427260.4</v>
      </c>
      <c r="D173" s="248"/>
      <c r="E173" s="249"/>
      <c r="F173" s="255">
        <f>F171+G171+H171</f>
        <v>142264</v>
      </c>
      <c r="G173" s="256"/>
      <c r="H173" s="257"/>
      <c r="I173" s="259">
        <f>I171+J171</f>
        <v>128520</v>
      </c>
      <c r="J173" s="260"/>
      <c r="K173" s="7">
        <f>SUM(C173:J173)</f>
        <v>698044.4</v>
      </c>
      <c r="L173" s="16">
        <f>SUM(L3:L171)</f>
        <v>658000</v>
      </c>
      <c r="M173" s="16">
        <f>SUM(M3:M171)</f>
        <v>430750</v>
      </c>
      <c r="N173" s="16">
        <f>SUM(N3:N171)</f>
        <v>227250</v>
      </c>
    </row>
    <row r="174" spans="1:17" ht="33.75" customHeight="1" x14ac:dyDescent="0.25">
      <c r="D174" s="7" t="s">
        <v>115</v>
      </c>
      <c r="I174" s="128"/>
      <c r="M174" s="258"/>
      <c r="N174" s="258"/>
    </row>
    <row r="175" spans="1:17" ht="18" customHeight="1" x14ac:dyDescent="0.25">
      <c r="B175" s="12"/>
      <c r="C175" s="12"/>
      <c r="D175" s="12"/>
      <c r="E175" s="12"/>
      <c r="F175" s="12"/>
      <c r="G175" s="12"/>
      <c r="H175" s="12"/>
      <c r="I175" s="118"/>
      <c r="J175" s="12"/>
      <c r="M175" s="258"/>
      <c r="N175" s="258"/>
    </row>
    <row r="176" spans="1:17" ht="18" customHeight="1" x14ac:dyDescent="0.25">
      <c r="B176" s="12"/>
      <c r="C176" s="12"/>
      <c r="D176" s="12"/>
      <c r="E176" s="12"/>
      <c r="F176" s="12"/>
      <c r="G176" s="12"/>
      <c r="H176" s="12"/>
      <c r="I176" s="118"/>
      <c r="J176" s="12"/>
      <c r="M176" s="258"/>
      <c r="N176" s="258"/>
    </row>
    <row r="177" spans="7:10" x14ac:dyDescent="0.25">
      <c r="I177" s="7"/>
    </row>
    <row r="178" spans="7:10" x14ac:dyDescent="0.25">
      <c r="I178" s="128"/>
    </row>
    <row r="179" spans="7:10" x14ac:dyDescent="0.25">
      <c r="G179" s="117"/>
      <c r="I179" s="128"/>
      <c r="J179" s="7" t="s">
        <v>115</v>
      </c>
    </row>
    <row r="180" spans="7:10" x14ac:dyDescent="0.25">
      <c r="I180" s="128"/>
    </row>
    <row r="181" spans="7:10" x14ac:dyDescent="0.25">
      <c r="I181" s="128"/>
    </row>
    <row r="182" spans="7:10" x14ac:dyDescent="0.25">
      <c r="I182" s="128"/>
    </row>
    <row r="183" spans="7:10" x14ac:dyDescent="0.25">
      <c r="I183" s="128"/>
    </row>
    <row r="184" spans="7:10" x14ac:dyDescent="0.25">
      <c r="I184" s="128"/>
    </row>
    <row r="185" spans="7:10" x14ac:dyDescent="0.25">
      <c r="I185" s="128"/>
    </row>
    <row r="186" spans="7:10" x14ac:dyDescent="0.25">
      <c r="I186" s="128"/>
    </row>
    <row r="187" spans="7:10" x14ac:dyDescent="0.25">
      <c r="I187" s="128"/>
    </row>
    <row r="188" spans="7:10" x14ac:dyDescent="0.25">
      <c r="I188" s="128"/>
    </row>
    <row r="189" spans="7:10" x14ac:dyDescent="0.25">
      <c r="I189" s="128"/>
    </row>
    <row r="190" spans="7:10" x14ac:dyDescent="0.25">
      <c r="I190" s="128"/>
    </row>
    <row r="191" spans="7:10" x14ac:dyDescent="0.25">
      <c r="I191" s="128"/>
    </row>
    <row r="192" spans="7:10" x14ac:dyDescent="0.25">
      <c r="I192" s="128"/>
    </row>
    <row r="193" spans="9:9" x14ac:dyDescent="0.25">
      <c r="I193" s="128"/>
    </row>
    <row r="194" spans="9:9" x14ac:dyDescent="0.25">
      <c r="I194" s="128"/>
    </row>
    <row r="195" spans="9:9" x14ac:dyDescent="0.25">
      <c r="I195" s="128"/>
    </row>
    <row r="196" spans="9:9" x14ac:dyDescent="0.25">
      <c r="I196" s="128"/>
    </row>
    <row r="197" spans="9:9" x14ac:dyDescent="0.25">
      <c r="I197" s="128"/>
    </row>
    <row r="198" spans="9:9" x14ac:dyDescent="0.25">
      <c r="I198" s="128"/>
    </row>
    <row r="199" spans="9:9" x14ac:dyDescent="0.25">
      <c r="I199" s="128"/>
    </row>
    <row r="200" spans="9:9" x14ac:dyDescent="0.25">
      <c r="I200" s="128"/>
    </row>
    <row r="201" spans="9:9" x14ac:dyDescent="0.25">
      <c r="I201" s="128"/>
    </row>
    <row r="202" spans="9:9" x14ac:dyDescent="0.25">
      <c r="I202" s="128"/>
    </row>
    <row r="203" spans="9:9" x14ac:dyDescent="0.25">
      <c r="I203" s="128"/>
    </row>
    <row r="204" spans="9:9" x14ac:dyDescent="0.25">
      <c r="I204" s="128"/>
    </row>
    <row r="205" spans="9:9" x14ac:dyDescent="0.25">
      <c r="I205" s="128"/>
    </row>
    <row r="206" spans="9:9" x14ac:dyDescent="0.25">
      <c r="I206" s="128"/>
    </row>
    <row r="207" spans="9:9" x14ac:dyDescent="0.25">
      <c r="I207" s="128"/>
    </row>
    <row r="208" spans="9:9" x14ac:dyDescent="0.25">
      <c r="I208" s="128"/>
    </row>
    <row r="209" spans="9:9" x14ac:dyDescent="0.25">
      <c r="I209" s="128"/>
    </row>
    <row r="210" spans="9:9" x14ac:dyDescent="0.25">
      <c r="I210" s="128"/>
    </row>
    <row r="211" spans="9:9" x14ac:dyDescent="0.25">
      <c r="I211" s="128"/>
    </row>
    <row r="212" spans="9:9" x14ac:dyDescent="0.25">
      <c r="I212" s="128"/>
    </row>
    <row r="213" spans="9:9" x14ac:dyDescent="0.25">
      <c r="I213" s="128"/>
    </row>
    <row r="214" spans="9:9" x14ac:dyDescent="0.25">
      <c r="I214" s="128"/>
    </row>
  </sheetData>
  <mergeCells count="162">
    <mergeCell ref="I170:J170"/>
    <mergeCell ref="I166:J166"/>
    <mergeCell ref="I167:J167"/>
    <mergeCell ref="I168:J168"/>
    <mergeCell ref="I169:J169"/>
    <mergeCell ref="I160:J160"/>
    <mergeCell ref="I161:J161"/>
    <mergeCell ref="I162:J162"/>
    <mergeCell ref="I163:J163"/>
    <mergeCell ref="I164:J164"/>
    <mergeCell ref="I155:J155"/>
    <mergeCell ref="I156:J156"/>
    <mergeCell ref="I158:J158"/>
    <mergeCell ref="I159:J159"/>
    <mergeCell ref="I150:J150"/>
    <mergeCell ref="I151:J151"/>
    <mergeCell ref="I152:J152"/>
    <mergeCell ref="I153:J153"/>
    <mergeCell ref="I154:J154"/>
    <mergeCell ref="I144:J144"/>
    <mergeCell ref="I145:J145"/>
    <mergeCell ref="I146:J146"/>
    <mergeCell ref="I147:J147"/>
    <mergeCell ref="I148:J148"/>
    <mergeCell ref="I139:J139"/>
    <mergeCell ref="I140:J140"/>
    <mergeCell ref="I141:J141"/>
    <mergeCell ref="I142:J142"/>
    <mergeCell ref="I143:J143"/>
    <mergeCell ref="I134:J134"/>
    <mergeCell ref="I135:J135"/>
    <mergeCell ref="I136:J136"/>
    <mergeCell ref="I137:J137"/>
    <mergeCell ref="I138:J138"/>
    <mergeCell ref="I129:J129"/>
    <mergeCell ref="I130:J130"/>
    <mergeCell ref="I131:J131"/>
    <mergeCell ref="I132:J132"/>
    <mergeCell ref="I124:J124"/>
    <mergeCell ref="I125:J125"/>
    <mergeCell ref="I126:J126"/>
    <mergeCell ref="I127:J127"/>
    <mergeCell ref="I128:J128"/>
    <mergeCell ref="I119:J119"/>
    <mergeCell ref="I120:J120"/>
    <mergeCell ref="I121:J121"/>
    <mergeCell ref="I122:J122"/>
    <mergeCell ref="I123:J123"/>
    <mergeCell ref="I114:J114"/>
    <mergeCell ref="I115:J115"/>
    <mergeCell ref="I116:J116"/>
    <mergeCell ref="I117:J117"/>
    <mergeCell ref="I118:J118"/>
    <mergeCell ref="I108:J108"/>
    <mergeCell ref="I109:J109"/>
    <mergeCell ref="I110:J110"/>
    <mergeCell ref="I112:J112"/>
    <mergeCell ref="I113:J113"/>
    <mergeCell ref="I103:J103"/>
    <mergeCell ref="I104:J104"/>
    <mergeCell ref="I105:J105"/>
    <mergeCell ref="I106:J106"/>
    <mergeCell ref="I107:J107"/>
    <mergeCell ref="I97:J97"/>
    <mergeCell ref="I98:J98"/>
    <mergeCell ref="I99:J99"/>
    <mergeCell ref="I100:J100"/>
    <mergeCell ref="I101:J101"/>
    <mergeCell ref="I92:J92"/>
    <mergeCell ref="I93:J93"/>
    <mergeCell ref="I94:J94"/>
    <mergeCell ref="I95:J95"/>
    <mergeCell ref="I96:J96"/>
    <mergeCell ref="I87:J87"/>
    <mergeCell ref="I88:J88"/>
    <mergeCell ref="I89:J89"/>
    <mergeCell ref="I90:J90"/>
    <mergeCell ref="I91:J91"/>
    <mergeCell ref="I81:J81"/>
    <mergeCell ref="I82:J82"/>
    <mergeCell ref="I84:J84"/>
    <mergeCell ref="I85:J85"/>
    <mergeCell ref="I86:J86"/>
    <mergeCell ref="I77:J77"/>
    <mergeCell ref="I78:J78"/>
    <mergeCell ref="I79:J79"/>
    <mergeCell ref="I80:J80"/>
    <mergeCell ref="I72:J72"/>
    <mergeCell ref="I73:J73"/>
    <mergeCell ref="I74:J74"/>
    <mergeCell ref="I75:J75"/>
    <mergeCell ref="I76:J76"/>
    <mergeCell ref="I68:J68"/>
    <mergeCell ref="I69:J69"/>
    <mergeCell ref="I70:J70"/>
    <mergeCell ref="I71:J71"/>
    <mergeCell ref="I63:J63"/>
    <mergeCell ref="I64:J64"/>
    <mergeCell ref="I65:J65"/>
    <mergeCell ref="I66:J66"/>
    <mergeCell ref="I58:J58"/>
    <mergeCell ref="I59:J59"/>
    <mergeCell ref="I60:J60"/>
    <mergeCell ref="I61:J61"/>
    <mergeCell ref="I62:J62"/>
    <mergeCell ref="I54:J54"/>
    <mergeCell ref="I55:J55"/>
    <mergeCell ref="I56:J56"/>
    <mergeCell ref="I57:J57"/>
    <mergeCell ref="I49:J49"/>
    <mergeCell ref="I50:J50"/>
    <mergeCell ref="I51:J51"/>
    <mergeCell ref="I52:J52"/>
    <mergeCell ref="I53:J53"/>
    <mergeCell ref="M174:N176"/>
    <mergeCell ref="I173:J173"/>
    <mergeCell ref="I1:J1"/>
    <mergeCell ref="I2:J2"/>
    <mergeCell ref="I3:J3"/>
    <mergeCell ref="I4:J4"/>
    <mergeCell ref="I5:J5"/>
    <mergeCell ref="I6:J6"/>
    <mergeCell ref="I7:J7"/>
    <mergeCell ref="I8:J8"/>
    <mergeCell ref="I23:J23"/>
    <mergeCell ref="I24:J24"/>
    <mergeCell ref="I25:J25"/>
    <mergeCell ref="I26:J26"/>
    <mergeCell ref="I27:J27"/>
    <mergeCell ref="I17:J17"/>
    <mergeCell ref="I18:J18"/>
    <mergeCell ref="I19:J19"/>
    <mergeCell ref="I20:J20"/>
    <mergeCell ref="I22:J22"/>
    <mergeCell ref="I33:J33"/>
    <mergeCell ref="I34:J34"/>
    <mergeCell ref="I35:J35"/>
    <mergeCell ref="I36:J36"/>
    <mergeCell ref="C173:E173"/>
    <mergeCell ref="C1:E1"/>
    <mergeCell ref="I9:J9"/>
    <mergeCell ref="I12:J12"/>
    <mergeCell ref="I13:J13"/>
    <mergeCell ref="I15:J15"/>
    <mergeCell ref="I16:J16"/>
    <mergeCell ref="F173:H173"/>
    <mergeCell ref="F1:H1"/>
    <mergeCell ref="I37:J37"/>
    <mergeCell ref="I28:J28"/>
    <mergeCell ref="I29:J29"/>
    <mergeCell ref="I30:J30"/>
    <mergeCell ref="I31:J31"/>
    <mergeCell ref="I44:J44"/>
    <mergeCell ref="I45:J45"/>
    <mergeCell ref="I46:J46"/>
    <mergeCell ref="I47:J47"/>
    <mergeCell ref="I48:J48"/>
    <mergeCell ref="I38:J38"/>
    <mergeCell ref="I39:J39"/>
    <mergeCell ref="I41:J41"/>
    <mergeCell ref="I42:J42"/>
    <mergeCell ref="I43:J43"/>
  </mergeCells>
  <printOptions horizontalCentered="1" verticalCentered="1"/>
  <pageMargins left="0" right="0" top="0" bottom="0" header="0" footer="0"/>
  <pageSetup paperSize="9" fitToHeight="0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4649-9EB9-42A5-A310-83BDC36EC120}">
  <dimension ref="A1:E193"/>
  <sheetViews>
    <sheetView rightToLeft="1" tabSelected="1" topLeftCell="A168" zoomScaleNormal="100" workbookViewId="0">
      <selection activeCell="F193" sqref="F193"/>
    </sheetView>
  </sheetViews>
  <sheetFormatPr defaultRowHeight="15" x14ac:dyDescent="0.25"/>
  <cols>
    <col min="1" max="1" width="25.7109375" customWidth="1"/>
    <col min="4" max="4" width="15.7109375" customWidth="1"/>
  </cols>
  <sheetData>
    <row r="1" spans="1:5" x14ac:dyDescent="0.25">
      <c r="A1" s="71">
        <v>46054</v>
      </c>
    </row>
    <row r="2" spans="1:5" x14ac:dyDescent="0.25">
      <c r="A2" t="s">
        <v>341</v>
      </c>
      <c r="B2" s="68" t="s">
        <v>342</v>
      </c>
      <c r="C2" s="68" t="s">
        <v>343</v>
      </c>
      <c r="D2" t="s">
        <v>344</v>
      </c>
      <c r="E2" t="s">
        <v>345</v>
      </c>
    </row>
    <row r="3" spans="1:5" ht="18" x14ac:dyDescent="0.25">
      <c r="A3" s="69" t="s">
        <v>93</v>
      </c>
      <c r="B3">
        <f>45</f>
        <v>45</v>
      </c>
      <c r="D3">
        <f>SUM(טבלה1[[#This Row],[גודל 3]:[גודל 4]])</f>
        <v>45</v>
      </c>
    </row>
    <row r="4" spans="1:5" ht="18" x14ac:dyDescent="0.25">
      <c r="A4" s="52" t="s">
        <v>346</v>
      </c>
      <c r="D4">
        <f>SUM(טבלה1[[#This Row],[גודל 3]:[גודל 4]])</f>
        <v>0</v>
      </c>
    </row>
    <row r="5" spans="1:5" ht="18" x14ac:dyDescent="0.25">
      <c r="A5" s="51" t="s">
        <v>347</v>
      </c>
      <c r="C5">
        <f>12</f>
        <v>12</v>
      </c>
      <c r="D5">
        <f>SUM(טבלה1[[#This Row],[גודל 3]:[גודל 4]])</f>
        <v>12</v>
      </c>
    </row>
    <row r="6" spans="1:5" ht="18" x14ac:dyDescent="0.25">
      <c r="A6" s="52" t="s">
        <v>97</v>
      </c>
      <c r="B6">
        <f>300+50</f>
        <v>350</v>
      </c>
      <c r="C6">
        <f>10</f>
        <v>10</v>
      </c>
      <c r="D6">
        <f>SUM(טבלה1[[#This Row],[גודל 3]:[גודל 4]])</f>
        <v>360</v>
      </c>
    </row>
    <row r="7" spans="1:5" ht="18" x14ac:dyDescent="0.25">
      <c r="A7" s="52" t="s">
        <v>99</v>
      </c>
      <c r="D7">
        <f>SUM(טבלה1[[#This Row],[גודל 3]:[גודל 4]])</f>
        <v>0</v>
      </c>
    </row>
    <row r="8" spans="1:5" ht="18" x14ac:dyDescent="0.25">
      <c r="A8" s="52" t="s">
        <v>101</v>
      </c>
      <c r="D8">
        <f>SUM(טבלה1[[#This Row],[גודל 3]:[גודל 4]])</f>
        <v>0</v>
      </c>
    </row>
    <row r="9" spans="1:5" ht="18" x14ac:dyDescent="0.25">
      <c r="A9" s="52" t="s">
        <v>348</v>
      </c>
      <c r="B9">
        <f>50+100</f>
        <v>150</v>
      </c>
      <c r="D9">
        <f>SUM(טבלה1[[#This Row],[גודל 3]:[גודל 4]])</f>
        <v>150</v>
      </c>
    </row>
    <row r="10" spans="1:5" ht="18" x14ac:dyDescent="0.25">
      <c r="A10" s="52" t="s">
        <v>577</v>
      </c>
      <c r="D10">
        <f>SUM(טבלה1[[#This Row],[גודל 3]:[גודל 4]])</f>
        <v>0</v>
      </c>
    </row>
    <row r="11" spans="1:5" ht="18.75" x14ac:dyDescent="0.25">
      <c r="A11" s="53" t="s">
        <v>349</v>
      </c>
      <c r="D11">
        <f>SUM(טבלה1[[#This Row],[גודל 3]:[גודל 4]])</f>
        <v>0</v>
      </c>
    </row>
    <row r="12" spans="1:5" ht="18" x14ac:dyDescent="0.25">
      <c r="A12" s="52" t="s">
        <v>350</v>
      </c>
      <c r="D12">
        <f>SUM(טבלה1[[#This Row],[גודל 3]:[גודל 4]])</f>
        <v>0</v>
      </c>
    </row>
    <row r="13" spans="1:5" ht="18" x14ac:dyDescent="0.25">
      <c r="A13" s="52" t="s">
        <v>106</v>
      </c>
      <c r="B13">
        <f>20+600</f>
        <v>620</v>
      </c>
      <c r="D13">
        <f>SUM(טבלה1[[#This Row],[גודל 3]:[גודל 4]])</f>
        <v>620</v>
      </c>
    </row>
    <row r="14" spans="1:5" ht="18" x14ac:dyDescent="0.25">
      <c r="A14" s="52" t="s">
        <v>574</v>
      </c>
      <c r="B14">
        <f>90</f>
        <v>90</v>
      </c>
      <c r="D14">
        <f>SUM(טבלה1[[#This Row],[גודל 3]:[גודל 4]])</f>
        <v>90</v>
      </c>
    </row>
    <row r="15" spans="1:5" ht="18" x14ac:dyDescent="0.25">
      <c r="A15" s="54" t="s">
        <v>108</v>
      </c>
      <c r="D15">
        <f>SUM(טבלה1[[#This Row],[גודל 3]:[גודל 4]])</f>
        <v>0</v>
      </c>
    </row>
    <row r="16" spans="1:5" ht="18" x14ac:dyDescent="0.25">
      <c r="A16" s="52" t="s">
        <v>110</v>
      </c>
      <c r="B16">
        <f>25+10+20</f>
        <v>55</v>
      </c>
      <c r="D16">
        <f>SUM(טבלה1[[#This Row],[גודל 3]:[גודל 4]])</f>
        <v>55</v>
      </c>
    </row>
    <row r="17" spans="1:4" ht="18" x14ac:dyDescent="0.25">
      <c r="A17" s="52" t="s">
        <v>351</v>
      </c>
      <c r="D17">
        <f>SUM(טבלה1[[#This Row],[גודל 3]:[גודל 4]])</f>
        <v>0</v>
      </c>
    </row>
    <row r="18" spans="1:4" ht="18" x14ac:dyDescent="0.25">
      <c r="A18" s="52" t="s">
        <v>112</v>
      </c>
      <c r="B18">
        <f>30</f>
        <v>30</v>
      </c>
      <c r="D18">
        <f>SUM(טבלה1[[#This Row],[גודל 3]:[גודל 4]])</f>
        <v>30</v>
      </c>
    </row>
    <row r="19" spans="1:4" ht="18" x14ac:dyDescent="0.25">
      <c r="A19" s="52" t="s">
        <v>352</v>
      </c>
      <c r="D19">
        <f>SUM(טבלה1[[#This Row],[גודל 3]:[גודל 4]])</f>
        <v>0</v>
      </c>
    </row>
    <row r="20" spans="1:4" ht="18" x14ac:dyDescent="0.25">
      <c r="A20" s="52" t="s">
        <v>114</v>
      </c>
      <c r="B20">
        <f>775+100</f>
        <v>875</v>
      </c>
      <c r="D20">
        <f>SUM(טבלה1[[#This Row],[גודל 3]:[גודל 4]])</f>
        <v>875</v>
      </c>
    </row>
    <row r="21" spans="1:4" ht="18" x14ac:dyDescent="0.25">
      <c r="A21" s="52" t="s">
        <v>116</v>
      </c>
      <c r="B21">
        <f>775+350</f>
        <v>1125</v>
      </c>
      <c r="D21">
        <f>SUM(טבלה1[[#This Row],[גודל 3]:[גודל 4]])</f>
        <v>1125</v>
      </c>
    </row>
    <row r="22" spans="1:4" ht="18" x14ac:dyDescent="0.25">
      <c r="A22" s="55" t="s">
        <v>353</v>
      </c>
      <c r="D22">
        <f>SUM(טבלה1[[#This Row],[גודל 3]:[גודל 4]])</f>
        <v>0</v>
      </c>
    </row>
    <row r="23" spans="1:4" ht="18" x14ac:dyDescent="0.25">
      <c r="A23" s="55" t="s">
        <v>354</v>
      </c>
      <c r="D23">
        <f>SUM(טבלה1[[#This Row],[גודל 3]:[גודל 4]])</f>
        <v>0</v>
      </c>
    </row>
    <row r="24" spans="1:4" ht="18" x14ac:dyDescent="0.25">
      <c r="A24" s="55" t="s">
        <v>129</v>
      </c>
      <c r="D24">
        <f>SUM(טבלה1[[#This Row],[גודל 3]:[גודל 4]])</f>
        <v>0</v>
      </c>
    </row>
    <row r="25" spans="1:4" ht="18" x14ac:dyDescent="0.25">
      <c r="A25" s="52" t="s">
        <v>121</v>
      </c>
      <c r="D25">
        <f>SUM(טבלה1[[#This Row],[גודל 3]:[גודל 4]])</f>
        <v>0</v>
      </c>
    </row>
    <row r="26" spans="1:4" ht="18" x14ac:dyDescent="0.25">
      <c r="A26" s="52" t="s">
        <v>578</v>
      </c>
      <c r="D26">
        <f>SUM(טבלה1[[#This Row],[גודל 3]:[גודל 4]])</f>
        <v>0</v>
      </c>
    </row>
    <row r="27" spans="1:4" ht="18" x14ac:dyDescent="0.25">
      <c r="A27" s="52" t="s">
        <v>122</v>
      </c>
      <c r="D27">
        <f>SUM(טבלה1[[#This Row],[גודל 3]:[גודל 4]])</f>
        <v>0</v>
      </c>
    </row>
    <row r="28" spans="1:4" ht="18" x14ac:dyDescent="0.25">
      <c r="A28" s="52" t="s">
        <v>126</v>
      </c>
      <c r="D28">
        <f>SUM(טבלה1[[#This Row],[גודל 3]:[גודל 4]])</f>
        <v>0</v>
      </c>
    </row>
    <row r="29" spans="1:4" ht="18" x14ac:dyDescent="0.25">
      <c r="A29" s="52" t="s">
        <v>128</v>
      </c>
      <c r="B29">
        <f>450+340</f>
        <v>790</v>
      </c>
      <c r="D29">
        <f>SUM(טבלה1[[#This Row],[גודל 3]:[גודל 4]])</f>
        <v>790</v>
      </c>
    </row>
    <row r="30" spans="1:4" ht="18" x14ac:dyDescent="0.25">
      <c r="A30" s="52" t="s">
        <v>131</v>
      </c>
      <c r="D30">
        <f>SUM(טבלה1[[#This Row],[גודל 3]:[גודל 4]])</f>
        <v>0</v>
      </c>
    </row>
    <row r="31" spans="1:4" ht="18.75" x14ac:dyDescent="0.25">
      <c r="A31" s="53" t="s">
        <v>136</v>
      </c>
      <c r="D31">
        <f>SUM(טבלה1[[#This Row],[גודל 3]:[גודל 4]])</f>
        <v>0</v>
      </c>
    </row>
    <row r="32" spans="1:4" ht="18" x14ac:dyDescent="0.25">
      <c r="A32" s="52" t="s">
        <v>133</v>
      </c>
      <c r="D32">
        <f>SUM(טבלה1[[#This Row],[גודל 3]:[גודל 4]])</f>
        <v>0</v>
      </c>
    </row>
    <row r="33" spans="1:4" ht="18" x14ac:dyDescent="0.25">
      <c r="A33" s="52" t="s">
        <v>135</v>
      </c>
      <c r="D33">
        <f>SUM(טבלה1[[#This Row],[גודל 3]:[גודל 4]])</f>
        <v>0</v>
      </c>
    </row>
    <row r="34" spans="1:4" ht="18" x14ac:dyDescent="0.25">
      <c r="A34" s="52" t="s">
        <v>570</v>
      </c>
      <c r="D34">
        <f>SUM(טבלה1[[#This Row],[גודל 3]:[גודל 4]])</f>
        <v>0</v>
      </c>
    </row>
    <row r="35" spans="1:4" ht="18" x14ac:dyDescent="0.25">
      <c r="A35" s="52" t="s">
        <v>138</v>
      </c>
      <c r="D35">
        <f>SUM(טבלה1[[#This Row],[גודל 3]:[גודל 4]])</f>
        <v>0</v>
      </c>
    </row>
    <row r="36" spans="1:4" ht="18" x14ac:dyDescent="0.25">
      <c r="A36" s="52" t="s">
        <v>139</v>
      </c>
      <c r="D36">
        <f>SUM(טבלה1[[#This Row],[גודל 3]:[גודל 4]])</f>
        <v>0</v>
      </c>
    </row>
    <row r="37" spans="1:4" ht="18.75" x14ac:dyDescent="0.25">
      <c r="A37" s="53" t="s">
        <v>141</v>
      </c>
      <c r="D37">
        <f>SUM(טבלה1[[#This Row],[גודל 3]:[גודל 4]])</f>
        <v>0</v>
      </c>
    </row>
    <row r="38" spans="1:4" ht="18" x14ac:dyDescent="0.25">
      <c r="A38" s="52" t="s">
        <v>148</v>
      </c>
      <c r="B38">
        <f>90+50+100</f>
        <v>240</v>
      </c>
      <c r="D38">
        <f>SUM(טבלה1[[#This Row],[גודל 3]:[גודל 4]])</f>
        <v>240</v>
      </c>
    </row>
    <row r="39" spans="1:4" ht="18" x14ac:dyDescent="0.25">
      <c r="A39" s="52" t="s">
        <v>143</v>
      </c>
      <c r="B39">
        <f>195+300</f>
        <v>495</v>
      </c>
      <c r="D39">
        <f>SUM(טבלה1[[#This Row],[גודל 3]:[גודל 4]])</f>
        <v>495</v>
      </c>
    </row>
    <row r="40" spans="1:4" ht="18" x14ac:dyDescent="0.25">
      <c r="A40" s="52" t="s">
        <v>145</v>
      </c>
      <c r="B40">
        <f>45+10</f>
        <v>55</v>
      </c>
      <c r="D40">
        <f>SUM(טבלה1[[#This Row],[גודל 3]:[גודל 4]])</f>
        <v>55</v>
      </c>
    </row>
    <row r="41" spans="1:4" ht="18" x14ac:dyDescent="0.25">
      <c r="A41" s="52" t="s">
        <v>147</v>
      </c>
      <c r="D41">
        <f>SUM(טבלה1[[#This Row],[גודל 3]:[גודל 4]])</f>
        <v>0</v>
      </c>
    </row>
    <row r="42" spans="1:4" ht="18" x14ac:dyDescent="0.25">
      <c r="A42" s="52" t="s">
        <v>149</v>
      </c>
      <c r="D42">
        <f>SUM(טבלה1[[#This Row],[גודל 3]:[גודל 4]])</f>
        <v>0</v>
      </c>
    </row>
    <row r="43" spans="1:4" ht="18" x14ac:dyDescent="0.25">
      <c r="A43" s="52" t="s">
        <v>355</v>
      </c>
      <c r="B43">
        <f>25</f>
        <v>25</v>
      </c>
      <c r="D43">
        <f>SUM(טבלה1[[#This Row],[גודל 3]:[גודל 4]])</f>
        <v>25</v>
      </c>
    </row>
    <row r="44" spans="1:4" ht="18" x14ac:dyDescent="0.25">
      <c r="A44" s="52" t="s">
        <v>356</v>
      </c>
      <c r="D44">
        <f>SUM(טבלה1[[#This Row],[גודל 3]:[גודל 4]])</f>
        <v>0</v>
      </c>
    </row>
    <row r="45" spans="1:4" ht="18" x14ac:dyDescent="0.25">
      <c r="A45" s="52" t="s">
        <v>152</v>
      </c>
      <c r="B45">
        <f>100</f>
        <v>100</v>
      </c>
      <c r="D45">
        <f>SUM(טבלה1[[#This Row],[גודל 3]:[גודל 4]])</f>
        <v>100</v>
      </c>
    </row>
    <row r="46" spans="1:4" ht="18" x14ac:dyDescent="0.25">
      <c r="A46" s="52" t="s">
        <v>357</v>
      </c>
      <c r="D46">
        <f>SUM(טבלה1[[#This Row],[גודל 3]:[גודל 4]])</f>
        <v>0</v>
      </c>
    </row>
    <row r="47" spans="1:4" ht="18" x14ac:dyDescent="0.25">
      <c r="A47" s="52" t="s">
        <v>155</v>
      </c>
      <c r="D47">
        <f>SUM(טבלה1[[#This Row],[גודל 3]:[גודל 4]])</f>
        <v>0</v>
      </c>
    </row>
    <row r="48" spans="1:4" ht="18" x14ac:dyDescent="0.25">
      <c r="A48" s="55" t="s">
        <v>157</v>
      </c>
      <c r="D48">
        <f>SUM(טבלה1[[#This Row],[גודל 3]:[גודל 4]])</f>
        <v>0</v>
      </c>
    </row>
    <row r="49" spans="1:4" ht="18" x14ac:dyDescent="0.25">
      <c r="A49" s="52" t="s">
        <v>159</v>
      </c>
      <c r="B49">
        <f>30</f>
        <v>30</v>
      </c>
      <c r="D49">
        <f>SUM(טבלה1[[#This Row],[גודל 3]:[גודל 4]])</f>
        <v>30</v>
      </c>
    </row>
    <row r="50" spans="1:4" ht="18.75" x14ac:dyDescent="0.25">
      <c r="A50" s="53" t="s">
        <v>161</v>
      </c>
      <c r="C50">
        <f>80</f>
        <v>80</v>
      </c>
      <c r="D50">
        <f>SUM(טבלה1[[#This Row],[גודל 3]:[גודל 4]])</f>
        <v>80</v>
      </c>
    </row>
    <row r="51" spans="1:4" ht="18" x14ac:dyDescent="0.25">
      <c r="A51" s="52" t="s">
        <v>162</v>
      </c>
      <c r="B51">
        <f>100</f>
        <v>100</v>
      </c>
      <c r="D51">
        <f>SUM(טבלה1[[#This Row],[גודל 3]:[גודל 4]])</f>
        <v>100</v>
      </c>
    </row>
    <row r="52" spans="1:4" ht="18" x14ac:dyDescent="0.25">
      <c r="A52" s="52" t="s">
        <v>164</v>
      </c>
      <c r="C52">
        <f>250</f>
        <v>250</v>
      </c>
      <c r="D52">
        <f>SUM(טבלה1[[#This Row],[גודל 3]:[גודל 4]])</f>
        <v>250</v>
      </c>
    </row>
    <row r="53" spans="1:4" ht="18" x14ac:dyDescent="0.25">
      <c r="A53" s="52" t="s">
        <v>166</v>
      </c>
      <c r="B53">
        <f>350</f>
        <v>350</v>
      </c>
      <c r="D53">
        <f>SUM(טבלה1[[#This Row],[גודל 3]:[גודל 4]])</f>
        <v>350</v>
      </c>
    </row>
    <row r="54" spans="1:4" ht="18" x14ac:dyDescent="0.25">
      <c r="A54" s="52" t="s">
        <v>168</v>
      </c>
      <c r="B54">
        <f>110</f>
        <v>110</v>
      </c>
      <c r="D54">
        <f>SUM(טבלה1[[#This Row],[גודל 3]:[גודל 4]])</f>
        <v>110</v>
      </c>
    </row>
    <row r="55" spans="1:4" ht="18" x14ac:dyDescent="0.25">
      <c r="A55" s="52" t="s">
        <v>169</v>
      </c>
      <c r="D55">
        <f>SUM(טבלה1[[#This Row],[גודל 3]:[גודל 4]])</f>
        <v>0</v>
      </c>
    </row>
    <row r="56" spans="1:4" ht="18" x14ac:dyDescent="0.25">
      <c r="A56" s="52" t="s">
        <v>358</v>
      </c>
      <c r="D56">
        <f>SUM(טבלה1[[#This Row],[גודל 3]:[גודל 4]])</f>
        <v>0</v>
      </c>
    </row>
    <row r="57" spans="1:4" ht="18" x14ac:dyDescent="0.25">
      <c r="A57" s="52" t="s">
        <v>359</v>
      </c>
      <c r="B57">
        <f>30</f>
        <v>30</v>
      </c>
      <c r="D57">
        <f>SUM(טבלה1[[#This Row],[גודל 3]:[גודל 4]])</f>
        <v>30</v>
      </c>
    </row>
    <row r="58" spans="1:4" ht="18" x14ac:dyDescent="0.25">
      <c r="A58" s="52" t="s">
        <v>360</v>
      </c>
      <c r="C58">
        <f>150</f>
        <v>150</v>
      </c>
      <c r="D58">
        <f>SUM(טבלה1[[#This Row],[גודל 3]:[גודל 4]])</f>
        <v>150</v>
      </c>
    </row>
    <row r="59" spans="1:4" ht="18" x14ac:dyDescent="0.25">
      <c r="A59" s="52" t="s">
        <v>176</v>
      </c>
      <c r="D59">
        <f>SUM(טבלה1[[#This Row],[גודל 3]:[גודל 4]])</f>
        <v>0</v>
      </c>
    </row>
    <row r="60" spans="1:4" ht="18" x14ac:dyDescent="0.25">
      <c r="A60" s="52" t="s">
        <v>178</v>
      </c>
      <c r="B60">
        <f>430</f>
        <v>430</v>
      </c>
      <c r="C60">
        <f>90</f>
        <v>90</v>
      </c>
      <c r="D60">
        <f>SUM(טבלה1[[#This Row],[גודל 3]:[גודל 4]])</f>
        <v>520</v>
      </c>
    </row>
    <row r="61" spans="1:4" ht="18" x14ac:dyDescent="0.25">
      <c r="A61" s="52" t="s">
        <v>361</v>
      </c>
      <c r="D61">
        <f>SUM(טבלה1[[#This Row],[גודל 3]:[גודל 4]])</f>
        <v>0</v>
      </c>
    </row>
    <row r="62" spans="1:4" ht="18" x14ac:dyDescent="0.25">
      <c r="A62" s="52" t="s">
        <v>180</v>
      </c>
      <c r="D62">
        <f>SUM(טבלה1[[#This Row],[גודל 3]:[גודל 4]])</f>
        <v>0</v>
      </c>
    </row>
    <row r="63" spans="1:4" ht="18" x14ac:dyDescent="0.25">
      <c r="A63" s="55" t="s">
        <v>362</v>
      </c>
      <c r="B63">
        <f>500+200+20</f>
        <v>720</v>
      </c>
      <c r="D63">
        <f>SUM(טבלה1[[#This Row],[גודל 3]:[גודל 4]])</f>
        <v>720</v>
      </c>
    </row>
    <row r="64" spans="1:4" ht="18" x14ac:dyDescent="0.25">
      <c r="A64" s="52" t="s">
        <v>363</v>
      </c>
      <c r="D64">
        <f>SUM(טבלה1[[#This Row],[גודל 3]:[גודל 4]])</f>
        <v>0</v>
      </c>
    </row>
    <row r="65" spans="1:4" ht="18" x14ac:dyDescent="0.25">
      <c r="A65" s="52" t="s">
        <v>364</v>
      </c>
      <c r="D65">
        <f>SUM(טבלה1[[#This Row],[גודל 3]:[גודל 4]])</f>
        <v>0</v>
      </c>
    </row>
    <row r="66" spans="1:4" ht="18" x14ac:dyDescent="0.25">
      <c r="A66" s="52" t="s">
        <v>365</v>
      </c>
      <c r="D66">
        <f>SUM(טבלה1[[#This Row],[גודל 3]:[גודל 4]])</f>
        <v>0</v>
      </c>
    </row>
    <row r="67" spans="1:4" ht="18" x14ac:dyDescent="0.25">
      <c r="A67" s="52" t="s">
        <v>182</v>
      </c>
      <c r="B67">
        <f>20</f>
        <v>20</v>
      </c>
      <c r="D67">
        <f>SUM(טבלה1[[#This Row],[גודל 3]:[גודל 4]])</f>
        <v>20</v>
      </c>
    </row>
    <row r="68" spans="1:4" ht="18" x14ac:dyDescent="0.25">
      <c r="A68" s="52" t="s">
        <v>185</v>
      </c>
      <c r="D68">
        <f>SUM(טבלה1[[#This Row],[גודל 3]:[גודל 4]])</f>
        <v>0</v>
      </c>
    </row>
    <row r="69" spans="1:4" ht="18" x14ac:dyDescent="0.25">
      <c r="A69" s="52" t="s">
        <v>187</v>
      </c>
      <c r="D69">
        <f>SUM(טבלה1[[#This Row],[גודל 3]:[גודל 4]])</f>
        <v>0</v>
      </c>
    </row>
    <row r="70" spans="1:4" ht="18" x14ac:dyDescent="0.25">
      <c r="A70" s="52" t="s">
        <v>557</v>
      </c>
      <c r="D70">
        <f>SUM(טבלה1[[#This Row],[גודל 3]:[גודל 4]])</f>
        <v>0</v>
      </c>
    </row>
    <row r="71" spans="1:4" ht="18" x14ac:dyDescent="0.25">
      <c r="A71" s="52" t="s">
        <v>542</v>
      </c>
      <c r="D71">
        <f>SUM(טבלה1[[#This Row],[גודל 3]:[גודל 4]])</f>
        <v>0</v>
      </c>
    </row>
    <row r="72" spans="1:4" ht="18" x14ac:dyDescent="0.25">
      <c r="A72" s="52" t="s">
        <v>188</v>
      </c>
      <c r="D72">
        <f>SUM(טבלה1[[#This Row],[גודל 3]:[גודל 4]])</f>
        <v>0</v>
      </c>
    </row>
    <row r="73" spans="1:4" ht="18" x14ac:dyDescent="0.25">
      <c r="A73" s="52" t="s">
        <v>190</v>
      </c>
      <c r="D73">
        <f>SUM(טבלה1[[#This Row],[גודל 3]:[גודל 4]])</f>
        <v>0</v>
      </c>
    </row>
    <row r="74" spans="1:4" ht="18" x14ac:dyDescent="0.25">
      <c r="A74" s="52" t="s">
        <v>367</v>
      </c>
      <c r="D74">
        <f>SUM(טבלה1[[#This Row],[גודל 3]:[גודל 4]])</f>
        <v>0</v>
      </c>
    </row>
    <row r="75" spans="1:4" ht="18" x14ac:dyDescent="0.25">
      <c r="A75" s="52" t="s">
        <v>192</v>
      </c>
      <c r="C75">
        <f>50</f>
        <v>50</v>
      </c>
      <c r="D75">
        <f>SUM(טבלה1[[#This Row],[גודל 3]:[גודל 4]])</f>
        <v>50</v>
      </c>
    </row>
    <row r="76" spans="1:4" ht="18.75" x14ac:dyDescent="0.25">
      <c r="A76" s="246" t="s">
        <v>599</v>
      </c>
      <c r="D76">
        <f>SUM(טבלה1[[#This Row],[גודל 3]:[גודל 4]])</f>
        <v>0</v>
      </c>
    </row>
    <row r="77" spans="1:4" ht="18" x14ac:dyDescent="0.25">
      <c r="A77" s="52" t="s">
        <v>194</v>
      </c>
      <c r="D77">
        <f>SUM(טבלה1[[#This Row],[גודל 3]:[גודל 4]])</f>
        <v>0</v>
      </c>
    </row>
    <row r="78" spans="1:4" ht="18" x14ac:dyDescent="0.25">
      <c r="A78" s="52" t="s">
        <v>196</v>
      </c>
      <c r="D78">
        <f>SUM(טבלה1[[#This Row],[גודל 3]:[גודל 4]])</f>
        <v>0</v>
      </c>
    </row>
    <row r="79" spans="1:4" ht="18" x14ac:dyDescent="0.25">
      <c r="A79" s="52" t="s">
        <v>198</v>
      </c>
      <c r="B79">
        <f>300+650</f>
        <v>950</v>
      </c>
      <c r="D79">
        <f>SUM(טבלה1[[#This Row],[גודל 3]:[גודל 4]])</f>
        <v>950</v>
      </c>
    </row>
    <row r="80" spans="1:4" ht="18" x14ac:dyDescent="0.25">
      <c r="A80" s="52" t="s">
        <v>199</v>
      </c>
      <c r="B80">
        <f>50+200</f>
        <v>250</v>
      </c>
      <c r="D80">
        <f>SUM(טבלה1[[#This Row],[גודל 3]:[גודל 4]])</f>
        <v>250</v>
      </c>
    </row>
    <row r="81" spans="1:4" ht="18" x14ac:dyDescent="0.25">
      <c r="A81" s="52" t="s">
        <v>201</v>
      </c>
      <c r="B81">
        <f>120</f>
        <v>120</v>
      </c>
      <c r="D81">
        <f>SUM(טבלה1[[#This Row],[גודל 3]:[גודל 4]])</f>
        <v>120</v>
      </c>
    </row>
    <row r="82" spans="1:4" ht="18" x14ac:dyDescent="0.25">
      <c r="A82" s="52" t="s">
        <v>203</v>
      </c>
      <c r="D82">
        <f>SUM(טבלה1[[#This Row],[גודל 3]:[גודל 4]])</f>
        <v>0</v>
      </c>
    </row>
    <row r="83" spans="1:4" ht="18" x14ac:dyDescent="0.25">
      <c r="A83" s="52" t="s">
        <v>368</v>
      </c>
      <c r="D83">
        <f>SUM(טבלה1[[#This Row],[גודל 3]:[גודל 4]])</f>
        <v>0</v>
      </c>
    </row>
    <row r="84" spans="1:4" ht="18" x14ac:dyDescent="0.25">
      <c r="A84" s="52" t="s">
        <v>204</v>
      </c>
      <c r="D84">
        <f>SUM(טבלה1[[#This Row],[גודל 3]:[גודל 4]])</f>
        <v>0</v>
      </c>
    </row>
    <row r="85" spans="1:4" ht="18" x14ac:dyDescent="0.25">
      <c r="A85" s="52" t="s">
        <v>206</v>
      </c>
      <c r="B85">
        <f>25</f>
        <v>25</v>
      </c>
      <c r="D85">
        <f>SUM(טבלה1[[#This Row],[גודל 3]:[גודל 4]])</f>
        <v>25</v>
      </c>
    </row>
    <row r="86" spans="1:4" ht="18" x14ac:dyDescent="0.25">
      <c r="A86" s="52" t="s">
        <v>207</v>
      </c>
      <c r="D86">
        <f>SUM(טבלה1[[#This Row],[גודל 3]:[גודל 4]])</f>
        <v>0</v>
      </c>
    </row>
    <row r="87" spans="1:4" ht="18" x14ac:dyDescent="0.25">
      <c r="A87" s="52" t="s">
        <v>209</v>
      </c>
      <c r="B87">
        <f>110+700</f>
        <v>810</v>
      </c>
      <c r="D87">
        <f>SUM(טבלה1[[#This Row],[גודל 3]:[גודל 4]])</f>
        <v>810</v>
      </c>
    </row>
    <row r="88" spans="1:4" ht="18" x14ac:dyDescent="0.25">
      <c r="A88" s="52" t="s">
        <v>210</v>
      </c>
      <c r="D88">
        <f>SUM(טבלה1[[#This Row],[גודל 3]:[גודל 4]])</f>
        <v>0</v>
      </c>
    </row>
    <row r="89" spans="1:4" ht="18" x14ac:dyDescent="0.25">
      <c r="A89" s="52" t="s">
        <v>213</v>
      </c>
      <c r="B89">
        <f>25</f>
        <v>25</v>
      </c>
      <c r="D89">
        <f>SUM(טבלה1[[#This Row],[גודל 3]:[גודל 4]])</f>
        <v>25</v>
      </c>
    </row>
    <row r="90" spans="1:4" ht="18.75" x14ac:dyDescent="0.25">
      <c r="A90" s="53" t="s">
        <v>369</v>
      </c>
      <c r="D90">
        <f>SUM(טבלה1[[#This Row],[גודל 3]:[גודל 4]])</f>
        <v>0</v>
      </c>
    </row>
    <row r="91" spans="1:4" ht="18.75" x14ac:dyDescent="0.25">
      <c r="A91" s="53" t="s">
        <v>215</v>
      </c>
      <c r="B91" s="91">
        <f>45</f>
        <v>45</v>
      </c>
      <c r="D91">
        <f>SUM(טבלה1[[#This Row],[גודל 3]:[גודל 4]])</f>
        <v>45</v>
      </c>
    </row>
    <row r="92" spans="1:4" ht="18.75" x14ac:dyDescent="0.25">
      <c r="A92" s="53" t="s">
        <v>217</v>
      </c>
      <c r="D92">
        <f>SUM(טבלה1[[#This Row],[גודל 3]:[גודל 4]])</f>
        <v>0</v>
      </c>
    </row>
    <row r="93" spans="1:4" ht="18.75" x14ac:dyDescent="0.25">
      <c r="A93" s="53" t="s">
        <v>370</v>
      </c>
      <c r="D93">
        <f>SUM(טבלה1[[#This Row],[גודל 3]:[גודל 4]])</f>
        <v>0</v>
      </c>
    </row>
    <row r="94" spans="1:4" ht="18" x14ac:dyDescent="0.25">
      <c r="A94" s="52" t="s">
        <v>220</v>
      </c>
      <c r="D94">
        <f>SUM(טבלה1[[#This Row],[גודל 3]:[גודל 4]])</f>
        <v>0</v>
      </c>
    </row>
    <row r="95" spans="1:4" ht="18" x14ac:dyDescent="0.25">
      <c r="A95" s="52" t="s">
        <v>371</v>
      </c>
      <c r="D95">
        <f>SUM(טבלה1[[#This Row],[גודל 3]:[גודל 4]])</f>
        <v>0</v>
      </c>
    </row>
    <row r="96" spans="1:4" ht="18" x14ac:dyDescent="0.25">
      <c r="A96" s="52" t="s">
        <v>222</v>
      </c>
      <c r="B96">
        <f>46+150+250+70</f>
        <v>516</v>
      </c>
      <c r="D96">
        <f>SUM(טבלה1[[#This Row],[גודל 3]:[גודל 4]])</f>
        <v>516</v>
      </c>
    </row>
    <row r="97" spans="1:4" ht="18.75" x14ac:dyDescent="0.25">
      <c r="A97" s="53" t="s">
        <v>226</v>
      </c>
      <c r="B97">
        <f>50+65+200</f>
        <v>315</v>
      </c>
      <c r="D97">
        <f>SUM(טבלה1[[#This Row],[גודל 3]:[גודל 4]])</f>
        <v>315</v>
      </c>
    </row>
    <row r="98" spans="1:4" ht="18.75" x14ac:dyDescent="0.25">
      <c r="A98" s="53" t="s">
        <v>224</v>
      </c>
      <c r="B98">
        <f>30</f>
        <v>30</v>
      </c>
      <c r="C98">
        <f>30+35+25</f>
        <v>90</v>
      </c>
      <c r="D98">
        <f>SUM(טבלה1[[#This Row],[גודל 3]:[גודל 4]])</f>
        <v>120</v>
      </c>
    </row>
    <row r="99" spans="1:4" ht="18" x14ac:dyDescent="0.25">
      <c r="A99" s="52" t="s">
        <v>218</v>
      </c>
      <c r="D99">
        <f>SUM(טבלה1[[#This Row],[גודל 3]:[גודל 4]])</f>
        <v>0</v>
      </c>
    </row>
    <row r="100" spans="1:4" ht="18" x14ac:dyDescent="0.25">
      <c r="A100" s="52" t="s">
        <v>372</v>
      </c>
      <c r="D100">
        <f>SUM(טבלה1[[#This Row],[גודל 3]:[גודל 4]])</f>
        <v>0</v>
      </c>
    </row>
    <row r="101" spans="1:4" ht="18" x14ac:dyDescent="0.25">
      <c r="A101" s="52" t="s">
        <v>228</v>
      </c>
      <c r="D101">
        <f>SUM(טבלה1[[#This Row],[גודל 3]:[גודל 4]])</f>
        <v>0</v>
      </c>
    </row>
    <row r="102" spans="1:4" ht="18" x14ac:dyDescent="0.25">
      <c r="A102" s="52" t="s">
        <v>373</v>
      </c>
      <c r="D102">
        <f>SUM(טבלה1[[#This Row],[גודל 3]:[גודל 4]])</f>
        <v>0</v>
      </c>
    </row>
    <row r="103" spans="1:4" ht="18" x14ac:dyDescent="0.25">
      <c r="A103" s="52" t="s">
        <v>229</v>
      </c>
      <c r="D103">
        <f>SUM(טבלה1[[#This Row],[גודל 3]:[גודל 4]])</f>
        <v>0</v>
      </c>
    </row>
    <row r="104" spans="1:4" ht="18" x14ac:dyDescent="0.25">
      <c r="A104" s="52" t="s">
        <v>231</v>
      </c>
      <c r="D104">
        <f>SUM(טבלה1[[#This Row],[גודל 3]:[גודל 4]])</f>
        <v>0</v>
      </c>
    </row>
    <row r="105" spans="1:4" ht="18" x14ac:dyDescent="0.25">
      <c r="A105" s="52" t="s">
        <v>233</v>
      </c>
      <c r="D105">
        <f>SUM(טבלה1[[#This Row],[גודל 3]:[גודל 4]])</f>
        <v>0</v>
      </c>
    </row>
    <row r="106" spans="1:4" ht="18" x14ac:dyDescent="0.25">
      <c r="A106" s="52" t="s">
        <v>235</v>
      </c>
      <c r="B106">
        <f>20</f>
        <v>20</v>
      </c>
      <c r="D106">
        <f>SUM(טבלה1[[#This Row],[גודל 3]:[גודל 4]])</f>
        <v>20</v>
      </c>
    </row>
    <row r="107" spans="1:4" ht="18" x14ac:dyDescent="0.25">
      <c r="A107" s="52" t="s">
        <v>374</v>
      </c>
      <c r="D107">
        <f>SUM(טבלה1[[#This Row],[גודל 3]:[גודל 4]])</f>
        <v>0</v>
      </c>
    </row>
    <row r="108" spans="1:4" ht="18" x14ac:dyDescent="0.25">
      <c r="A108" s="52" t="s">
        <v>237</v>
      </c>
      <c r="D108">
        <f>SUM(טבלה1[[#This Row],[גודל 3]:[גודל 4]])</f>
        <v>0</v>
      </c>
    </row>
    <row r="109" spans="1:4" ht="18" x14ac:dyDescent="0.25">
      <c r="A109" s="52" t="s">
        <v>239</v>
      </c>
      <c r="B109">
        <f>480</f>
        <v>480</v>
      </c>
      <c r="D109">
        <f>SUM(טבלה1[[#This Row],[גודל 3]:[גודל 4]])</f>
        <v>480</v>
      </c>
    </row>
    <row r="110" spans="1:4" ht="18" x14ac:dyDescent="0.25">
      <c r="A110" s="52" t="s">
        <v>243</v>
      </c>
      <c r="B110">
        <f>20+100</f>
        <v>120</v>
      </c>
      <c r="D110">
        <f>SUM(טבלה1[[#This Row],[גודל 3]:[גודל 4]])</f>
        <v>120</v>
      </c>
    </row>
    <row r="111" spans="1:4" ht="18" x14ac:dyDescent="0.25">
      <c r="A111" s="52" t="s">
        <v>245</v>
      </c>
      <c r="B111">
        <f>90+1000+100</f>
        <v>1190</v>
      </c>
      <c r="D111">
        <f>SUM(טבלה1[[#This Row],[גודל 3]:[גודל 4]])</f>
        <v>1190</v>
      </c>
    </row>
    <row r="112" spans="1:4" ht="18" x14ac:dyDescent="0.25">
      <c r="A112" s="52" t="s">
        <v>375</v>
      </c>
      <c r="C112">
        <f>70</f>
        <v>70</v>
      </c>
      <c r="D112">
        <f>SUM(טבלה1[[#This Row],[גודל 3]:[גודל 4]])</f>
        <v>70</v>
      </c>
    </row>
    <row r="113" spans="1:4" ht="18" x14ac:dyDescent="0.25">
      <c r="A113" s="52" t="s">
        <v>376</v>
      </c>
      <c r="D113">
        <f>SUM(טבלה1[[#This Row],[גודל 3]:[גודל 4]])</f>
        <v>0</v>
      </c>
    </row>
    <row r="114" spans="1:4" ht="18" x14ac:dyDescent="0.25">
      <c r="A114" s="52" t="s">
        <v>377</v>
      </c>
      <c r="B114">
        <f>100</f>
        <v>100</v>
      </c>
      <c r="D114">
        <f>SUM(טבלה1[[#This Row],[גודל 3]:[גודל 4]])</f>
        <v>100</v>
      </c>
    </row>
    <row r="115" spans="1:4" ht="18" x14ac:dyDescent="0.25">
      <c r="A115" s="52" t="s">
        <v>378</v>
      </c>
      <c r="D115">
        <f>SUM(טבלה1[[#This Row],[גודל 3]:[גודל 4]])</f>
        <v>0</v>
      </c>
    </row>
    <row r="116" spans="1:4" ht="18" x14ac:dyDescent="0.25">
      <c r="A116" s="52" t="s">
        <v>251</v>
      </c>
      <c r="C116">
        <f>250</f>
        <v>250</v>
      </c>
      <c r="D116">
        <f>SUM(טבלה1[[#This Row],[גודל 3]:[גודל 4]])</f>
        <v>250</v>
      </c>
    </row>
    <row r="117" spans="1:4" ht="18.75" x14ac:dyDescent="0.25">
      <c r="A117" s="53" t="s">
        <v>379</v>
      </c>
      <c r="D117">
        <f>SUM(טבלה1[[#This Row],[גודל 3]:[גודל 4]])</f>
        <v>0</v>
      </c>
    </row>
    <row r="118" spans="1:4" ht="18" x14ac:dyDescent="0.25">
      <c r="A118" s="52" t="s">
        <v>253</v>
      </c>
      <c r="D118">
        <f>SUM(טבלה1[[#This Row],[גודל 3]:[גודל 4]])</f>
        <v>0</v>
      </c>
    </row>
    <row r="119" spans="1:4" ht="18" x14ac:dyDescent="0.25">
      <c r="A119" s="52" t="s">
        <v>549</v>
      </c>
      <c r="D119">
        <f>SUM(טבלה1[[#This Row],[גודל 3]:[גודל 4]])</f>
        <v>0</v>
      </c>
    </row>
    <row r="120" spans="1:4" ht="18" x14ac:dyDescent="0.25">
      <c r="A120" s="52" t="s">
        <v>255</v>
      </c>
      <c r="B120">
        <f>3</f>
        <v>3</v>
      </c>
      <c r="C120">
        <f>225</f>
        <v>225</v>
      </c>
      <c r="D120">
        <f>SUM(טבלה1[[#This Row],[גודל 3]:[גודל 4]])</f>
        <v>228</v>
      </c>
    </row>
    <row r="121" spans="1:4" ht="18" x14ac:dyDescent="0.25">
      <c r="A121" s="52" t="s">
        <v>573</v>
      </c>
      <c r="D121">
        <f>SUM(טבלה1[[#This Row],[גודל 3]:[גודל 4]])</f>
        <v>0</v>
      </c>
    </row>
    <row r="122" spans="1:4" ht="18" x14ac:dyDescent="0.25">
      <c r="A122" s="52" t="s">
        <v>256</v>
      </c>
      <c r="D122">
        <f>SUM(טבלה1[[#This Row],[גודל 3]:[גודל 4]])</f>
        <v>0</v>
      </c>
    </row>
    <row r="123" spans="1:4" ht="18" x14ac:dyDescent="0.25">
      <c r="A123" s="52" t="s">
        <v>257</v>
      </c>
      <c r="D123">
        <f>SUM(טבלה1[[#This Row],[גודל 3]:[גודל 4]])</f>
        <v>0</v>
      </c>
    </row>
    <row r="124" spans="1:4" ht="18.75" x14ac:dyDescent="0.25">
      <c r="A124" s="53" t="s">
        <v>261</v>
      </c>
      <c r="D124">
        <f>SUM(טבלה1[[#This Row],[גודל 3]:[גודל 4]])</f>
        <v>0</v>
      </c>
    </row>
    <row r="125" spans="1:4" ht="18.75" x14ac:dyDescent="0.25">
      <c r="A125" s="53" t="s">
        <v>258</v>
      </c>
      <c r="D125">
        <f>SUM(טבלה1[[#This Row],[גודל 3]:[גודל 4]])</f>
        <v>0</v>
      </c>
    </row>
    <row r="126" spans="1:4" ht="18" x14ac:dyDescent="0.25">
      <c r="A126" s="52" t="s">
        <v>260</v>
      </c>
      <c r="B126">
        <f>100</f>
        <v>100</v>
      </c>
      <c r="D126">
        <f>SUM(טבלה1[[#This Row],[גודל 3]:[גודל 4]])</f>
        <v>100</v>
      </c>
    </row>
    <row r="127" spans="1:4" ht="18" x14ac:dyDescent="0.25">
      <c r="A127" s="52" t="s">
        <v>380</v>
      </c>
      <c r="D127">
        <f>SUM(טבלה1[[#This Row],[גודל 3]:[גודל 4]])</f>
        <v>0</v>
      </c>
    </row>
    <row r="128" spans="1:4" ht="18" x14ac:dyDescent="0.25">
      <c r="A128" s="52" t="s">
        <v>381</v>
      </c>
      <c r="D128">
        <f>SUM(טבלה1[[#This Row],[גודל 3]:[גודל 4]])</f>
        <v>0</v>
      </c>
    </row>
    <row r="129" spans="1:4" ht="18" x14ac:dyDescent="0.25">
      <c r="A129" s="52" t="s">
        <v>264</v>
      </c>
      <c r="D129">
        <f>SUM(טבלה1[[#This Row],[גודל 3]:[גודל 4]])</f>
        <v>0</v>
      </c>
    </row>
    <row r="130" spans="1:4" ht="18.75" x14ac:dyDescent="0.25">
      <c r="A130" s="53" t="s">
        <v>262</v>
      </c>
      <c r="D130">
        <f>SUM(טבלה1[[#This Row],[גודל 3]:[גודל 4]])</f>
        <v>0</v>
      </c>
    </row>
    <row r="131" spans="1:4" ht="18" x14ac:dyDescent="0.25">
      <c r="A131" s="52" t="s">
        <v>382</v>
      </c>
      <c r="D131">
        <f>SUM(טבלה1[[#This Row],[גודל 3]:[גודל 4]])</f>
        <v>0</v>
      </c>
    </row>
    <row r="132" spans="1:4" ht="18" x14ac:dyDescent="0.25">
      <c r="A132" s="52" t="s">
        <v>267</v>
      </c>
      <c r="D132">
        <f>SUM(טבלה1[[#This Row],[גודל 3]:[גודל 4]])</f>
        <v>0</v>
      </c>
    </row>
    <row r="133" spans="1:4" ht="18" x14ac:dyDescent="0.25">
      <c r="A133" s="52" t="s">
        <v>269</v>
      </c>
      <c r="B133">
        <f>30</f>
        <v>30</v>
      </c>
      <c r="C133">
        <f>15</f>
        <v>15</v>
      </c>
      <c r="D133">
        <f>SUM(טבלה1[[#This Row],[גודל 3]:[גודל 4]])</f>
        <v>45</v>
      </c>
    </row>
    <row r="134" spans="1:4" ht="18" x14ac:dyDescent="0.25">
      <c r="A134" s="52" t="s">
        <v>271</v>
      </c>
      <c r="B134">
        <f>175</f>
        <v>175</v>
      </c>
      <c r="D134">
        <f>SUM(טבלה1[[#This Row],[גודל 3]:[גודל 4]])</f>
        <v>175</v>
      </c>
    </row>
    <row r="135" spans="1:4" ht="18" x14ac:dyDescent="0.25">
      <c r="A135" s="52" t="s">
        <v>277</v>
      </c>
      <c r="D135">
        <f>SUM(טבלה1[[#This Row],[גודל 3]:[גודל 4]])</f>
        <v>0</v>
      </c>
    </row>
    <row r="136" spans="1:4" ht="18" x14ac:dyDescent="0.25">
      <c r="A136" s="52" t="s">
        <v>274</v>
      </c>
      <c r="B136">
        <f>20</f>
        <v>20</v>
      </c>
      <c r="D136">
        <f>SUM(טבלה1[[#This Row],[גודל 3]:[גודל 4]])</f>
        <v>20</v>
      </c>
    </row>
    <row r="137" spans="1:4" ht="18" x14ac:dyDescent="0.25">
      <c r="A137" s="52" t="s">
        <v>276</v>
      </c>
      <c r="B137">
        <f>60</f>
        <v>60</v>
      </c>
      <c r="D137">
        <f>SUM(טבלה1[[#This Row],[גודל 3]:[גודל 4]])</f>
        <v>60</v>
      </c>
    </row>
    <row r="138" spans="1:4" ht="18" x14ac:dyDescent="0.25">
      <c r="A138" s="52" t="s">
        <v>383</v>
      </c>
      <c r="D138">
        <f>SUM(טבלה1[[#This Row],[גודל 3]:[גודל 4]])</f>
        <v>0</v>
      </c>
    </row>
    <row r="139" spans="1:4" ht="18.75" x14ac:dyDescent="0.25">
      <c r="A139" s="53" t="s">
        <v>279</v>
      </c>
      <c r="D139">
        <f>SUM(טבלה1[[#This Row],[גודל 3]:[גודל 4]])</f>
        <v>0</v>
      </c>
    </row>
    <row r="140" spans="1:4" ht="18" x14ac:dyDescent="0.25">
      <c r="A140" s="52" t="s">
        <v>384</v>
      </c>
      <c r="B140">
        <f>60</f>
        <v>60</v>
      </c>
      <c r="D140">
        <f>SUM(טבלה1[[#This Row],[גודל 3]:[גודל 4]])</f>
        <v>60</v>
      </c>
    </row>
    <row r="141" spans="1:4" ht="18" x14ac:dyDescent="0.25">
      <c r="A141" s="52" t="s">
        <v>545</v>
      </c>
      <c r="D141">
        <f>SUM(טבלה1[[#This Row],[גודל 3]:[גודל 4]])</f>
        <v>0</v>
      </c>
    </row>
    <row r="142" spans="1:4" ht="18" x14ac:dyDescent="0.25">
      <c r="A142" s="52" t="s">
        <v>544</v>
      </c>
      <c r="D142">
        <f>SUM(טבלה1[[#This Row],[גודל 3]:[גודל 4]])</f>
        <v>0</v>
      </c>
    </row>
    <row r="143" spans="1:4" ht="18" x14ac:dyDescent="0.25">
      <c r="A143" s="52" t="s">
        <v>284</v>
      </c>
      <c r="D143">
        <f>SUM(טבלה1[[#This Row],[גודל 3]:[גודל 4]])</f>
        <v>0</v>
      </c>
    </row>
    <row r="144" spans="1:4" ht="18" x14ac:dyDescent="0.25">
      <c r="A144" s="52" t="s">
        <v>286</v>
      </c>
      <c r="D144">
        <f>SUM(טבלה1[[#This Row],[גודל 3]:[גודל 4]])</f>
        <v>0</v>
      </c>
    </row>
    <row r="145" spans="1:4" ht="18" x14ac:dyDescent="0.25">
      <c r="A145" s="52" t="s">
        <v>287</v>
      </c>
      <c r="D145">
        <f>SUM(טבלה1[[#This Row],[גודל 3]:[גודל 4]])</f>
        <v>0</v>
      </c>
    </row>
    <row r="146" spans="1:4" ht="18" x14ac:dyDescent="0.25">
      <c r="A146" s="52" t="s">
        <v>289</v>
      </c>
      <c r="D146">
        <f>SUM(טבלה1[[#This Row],[גודל 3]:[גודל 4]])</f>
        <v>0</v>
      </c>
    </row>
    <row r="147" spans="1:4" ht="18" x14ac:dyDescent="0.25">
      <c r="A147" s="52" t="s">
        <v>563</v>
      </c>
      <c r="D147">
        <f>SUM(טבלה1[[#This Row],[גודל 3]:[גודל 4]])</f>
        <v>0</v>
      </c>
    </row>
    <row r="148" spans="1:4" ht="18" x14ac:dyDescent="0.25">
      <c r="A148" s="52" t="s">
        <v>291</v>
      </c>
      <c r="B148">
        <f>60</f>
        <v>60</v>
      </c>
      <c r="D148">
        <f>SUM(טבלה1[[#This Row],[גודל 3]:[גודל 4]])</f>
        <v>60</v>
      </c>
    </row>
    <row r="149" spans="1:4" ht="18" x14ac:dyDescent="0.25">
      <c r="A149" s="52" t="s">
        <v>386</v>
      </c>
      <c r="D149">
        <f>SUM(טבלה1[[#This Row],[גודל 3]:[גודל 4]])</f>
        <v>0</v>
      </c>
    </row>
    <row r="150" spans="1:4" ht="18" x14ac:dyDescent="0.25">
      <c r="A150" s="52" t="s">
        <v>293</v>
      </c>
      <c r="D150">
        <f>SUM(טבלה1[[#This Row],[גודל 3]:[גודל 4]])</f>
        <v>0</v>
      </c>
    </row>
    <row r="151" spans="1:4" ht="18" x14ac:dyDescent="0.25">
      <c r="A151" s="52" t="s">
        <v>294</v>
      </c>
      <c r="D151">
        <f>SUM(טבלה1[[#This Row],[גודל 3]:[גודל 4]])</f>
        <v>0</v>
      </c>
    </row>
    <row r="152" spans="1:4" ht="18" x14ac:dyDescent="0.25">
      <c r="A152" s="52" t="s">
        <v>387</v>
      </c>
      <c r="D152">
        <f>SUM(טבלה1[[#This Row],[גודל 3]:[גודל 4]])</f>
        <v>0</v>
      </c>
    </row>
    <row r="153" spans="1:4" ht="18" x14ac:dyDescent="0.25">
      <c r="A153" s="52" t="s">
        <v>295</v>
      </c>
      <c r="D153">
        <f>SUM(טבלה1[[#This Row],[גודל 3]:[גודל 4]])</f>
        <v>0</v>
      </c>
    </row>
    <row r="154" spans="1:4" ht="18" x14ac:dyDescent="0.25">
      <c r="A154" s="52" t="s">
        <v>296</v>
      </c>
      <c r="D154">
        <f>SUM(טבלה1[[#This Row],[גודל 3]:[גודל 4]])</f>
        <v>0</v>
      </c>
    </row>
    <row r="155" spans="1:4" ht="18" x14ac:dyDescent="0.25">
      <c r="A155" s="52" t="s">
        <v>297</v>
      </c>
      <c r="D155">
        <f>SUM(טבלה1[[#This Row],[גודל 3]:[גודל 4]])</f>
        <v>0</v>
      </c>
    </row>
    <row r="156" spans="1:4" ht="18" x14ac:dyDescent="0.25">
      <c r="A156" s="72" t="s">
        <v>388</v>
      </c>
      <c r="D156">
        <f>SUM(טבלה1[[#This Row],[גודל 3]:[גודל 4]])</f>
        <v>0</v>
      </c>
    </row>
    <row r="157" spans="1:4" ht="18" x14ac:dyDescent="0.25">
      <c r="A157" s="52" t="s">
        <v>389</v>
      </c>
      <c r="D157">
        <f>SUM(טבלה1[[#This Row],[גודל 3]:[גודל 4]])</f>
        <v>0</v>
      </c>
    </row>
    <row r="158" spans="1:4" ht="18" x14ac:dyDescent="0.25">
      <c r="A158" s="52" t="s">
        <v>301</v>
      </c>
      <c r="B158">
        <f>45</f>
        <v>45</v>
      </c>
      <c r="D158">
        <f>SUM(טבלה1[[#This Row],[גודל 3]:[גודל 4]])</f>
        <v>45</v>
      </c>
    </row>
    <row r="159" spans="1:4" ht="18" x14ac:dyDescent="0.25">
      <c r="A159" s="52" t="s">
        <v>303</v>
      </c>
      <c r="D159">
        <f>SUM(טבלה1[[#This Row],[גודל 3]:[גודל 4]])</f>
        <v>0</v>
      </c>
    </row>
    <row r="160" spans="1:4" ht="18" x14ac:dyDescent="0.25">
      <c r="A160" s="52" t="s">
        <v>390</v>
      </c>
      <c r="D160">
        <f>SUM(טבלה1[[#This Row],[גודל 3]:[גודל 4]])</f>
        <v>0</v>
      </c>
    </row>
    <row r="161" spans="1:4" ht="18" x14ac:dyDescent="0.25">
      <c r="A161" s="52" t="s">
        <v>304</v>
      </c>
      <c r="D161">
        <f>SUM(טבלה1[[#This Row],[גודל 3]:[גודל 4]])</f>
        <v>0</v>
      </c>
    </row>
    <row r="162" spans="1:4" ht="18" x14ac:dyDescent="0.25">
      <c r="A162" s="52" t="s">
        <v>306</v>
      </c>
      <c r="B162">
        <f>100+1850</f>
        <v>1950</v>
      </c>
      <c r="D162">
        <f>SUM(טבלה1[[#This Row],[גודל 3]:[גודל 4]])</f>
        <v>1950</v>
      </c>
    </row>
    <row r="163" spans="1:4" ht="18" x14ac:dyDescent="0.25">
      <c r="A163" s="52" t="s">
        <v>309</v>
      </c>
      <c r="D163">
        <f>SUM(טבלה1[[#This Row],[גודל 3]:[גודל 4]])</f>
        <v>0</v>
      </c>
    </row>
    <row r="164" spans="1:4" ht="18" x14ac:dyDescent="0.25">
      <c r="A164" s="52" t="s">
        <v>310</v>
      </c>
      <c r="D164">
        <f>SUM(טבלה1[[#This Row],[גודל 3]:[גודל 4]])</f>
        <v>0</v>
      </c>
    </row>
    <row r="165" spans="1:4" ht="18" x14ac:dyDescent="0.25">
      <c r="A165" s="52" t="s">
        <v>391</v>
      </c>
      <c r="B165">
        <f>1400</f>
        <v>1400</v>
      </c>
      <c r="D165">
        <f>SUM(טבלה1[[#This Row],[גודל 3]:[גודל 4]])</f>
        <v>1400</v>
      </c>
    </row>
    <row r="166" spans="1:4" ht="18" x14ac:dyDescent="0.25">
      <c r="A166" s="52" t="s">
        <v>392</v>
      </c>
      <c r="D166">
        <f>SUM(טבלה1[[#This Row],[גודל 3]:[גודל 4]])</f>
        <v>0</v>
      </c>
    </row>
    <row r="167" spans="1:4" ht="18" x14ac:dyDescent="0.25">
      <c r="A167" s="52" t="s">
        <v>393</v>
      </c>
      <c r="D167">
        <f>SUM(טבלה1[[#This Row],[גודל 3]:[גודל 4]])</f>
        <v>0</v>
      </c>
    </row>
    <row r="168" spans="1:4" ht="18" x14ac:dyDescent="0.25">
      <c r="A168" s="52" t="s">
        <v>394</v>
      </c>
      <c r="D168">
        <f>SUM(טבלה1[[#This Row],[גודל 3]:[גודל 4]])</f>
        <v>0</v>
      </c>
    </row>
    <row r="169" spans="1:4" ht="18" x14ac:dyDescent="0.25">
      <c r="A169" s="52" t="s">
        <v>395</v>
      </c>
      <c r="D169">
        <f>SUM(טבלה1[[#This Row],[גודל 3]:[גודל 4]])</f>
        <v>0</v>
      </c>
    </row>
    <row r="170" spans="1:4" ht="18" x14ac:dyDescent="0.25">
      <c r="A170" s="52" t="s">
        <v>396</v>
      </c>
      <c r="D170">
        <f>SUM(טבלה1[[#This Row],[גודל 3]:[גודל 4]])</f>
        <v>0</v>
      </c>
    </row>
    <row r="171" spans="1:4" ht="18" x14ac:dyDescent="0.25">
      <c r="A171" s="52" t="s">
        <v>318</v>
      </c>
      <c r="C171" s="92"/>
      <c r="D171">
        <f>SUM(טבלה1[[#This Row],[גודל 3]:[גודל 4]])</f>
        <v>0</v>
      </c>
    </row>
    <row r="172" spans="1:4" ht="18" x14ac:dyDescent="0.25">
      <c r="A172" s="52" t="s">
        <v>320</v>
      </c>
      <c r="C172">
        <f>100+190</f>
        <v>290</v>
      </c>
      <c r="D172">
        <f>SUM(טבלה1[[#This Row],[גודל 3]:[גודל 4]])</f>
        <v>290</v>
      </c>
    </row>
    <row r="173" spans="1:4" ht="18" x14ac:dyDescent="0.25">
      <c r="A173" s="55" t="s">
        <v>397</v>
      </c>
      <c r="D173">
        <f>SUM(טבלה1[[#This Row],[גודל 3]:[גודל 4]])</f>
        <v>0</v>
      </c>
    </row>
    <row r="174" spans="1:4" ht="18" x14ac:dyDescent="0.25">
      <c r="A174" s="55" t="s">
        <v>398</v>
      </c>
      <c r="D174">
        <f>SUM(טבלה1[[#This Row],[גודל 3]:[גודל 4]])</f>
        <v>0</v>
      </c>
    </row>
    <row r="175" spans="1:4" ht="18" x14ac:dyDescent="0.25">
      <c r="A175" s="55" t="s">
        <v>399</v>
      </c>
      <c r="D175">
        <f>SUM(טבלה1[[#This Row],[גודל 3]:[גודל 4]])</f>
        <v>0</v>
      </c>
    </row>
    <row r="176" spans="1:4" ht="18" x14ac:dyDescent="0.25">
      <c r="A176" s="55" t="s">
        <v>323</v>
      </c>
      <c r="B176">
        <f>107+300+740</f>
        <v>1147</v>
      </c>
      <c r="D176">
        <f>SUM(טבלה1[[#This Row],[גודל 3]:[גודל 4]])</f>
        <v>1147</v>
      </c>
    </row>
    <row r="177" spans="1:5" ht="18" x14ac:dyDescent="0.25">
      <c r="A177" s="52" t="s">
        <v>325</v>
      </c>
      <c r="D177">
        <f>SUM(טבלה1[[#This Row],[גודל 3]:[גודל 4]])</f>
        <v>0</v>
      </c>
    </row>
    <row r="178" spans="1:5" ht="18" x14ac:dyDescent="0.25">
      <c r="A178" s="52" t="s">
        <v>327</v>
      </c>
      <c r="D178">
        <f>SUM(טבלה1[[#This Row],[גודל 3]:[גודל 4]])</f>
        <v>0</v>
      </c>
    </row>
    <row r="179" spans="1:5" ht="18" x14ac:dyDescent="0.25">
      <c r="A179" s="52" t="s">
        <v>329</v>
      </c>
      <c r="B179">
        <f>75+90</f>
        <v>165</v>
      </c>
      <c r="D179">
        <f>SUM(טבלה1[[#This Row],[גודל 3]:[גודל 4]])</f>
        <v>165</v>
      </c>
    </row>
    <row r="180" spans="1:5" ht="18" x14ac:dyDescent="0.25">
      <c r="A180" s="52" t="s">
        <v>331</v>
      </c>
      <c r="D180">
        <f>SUM(טבלה1[[#This Row],[גודל 3]:[גודל 4]])</f>
        <v>0</v>
      </c>
    </row>
    <row r="181" spans="1:5" ht="18" x14ac:dyDescent="0.25">
      <c r="A181" s="52" t="s">
        <v>333</v>
      </c>
      <c r="C181" s="92"/>
      <c r="D181">
        <f>SUM(טבלה1[[#This Row],[גודל 3]:[גודל 4]])</f>
        <v>0</v>
      </c>
    </row>
    <row r="182" spans="1:5" ht="18" x14ac:dyDescent="0.25">
      <c r="A182" s="52" t="s">
        <v>400</v>
      </c>
      <c r="D182">
        <f>SUM(טבלה1[[#This Row],[גודל 3]:[גודל 4]])</f>
        <v>0</v>
      </c>
    </row>
    <row r="183" spans="1:5" ht="18" x14ac:dyDescent="0.25">
      <c r="A183" s="52" t="s">
        <v>401</v>
      </c>
      <c r="D183">
        <f>SUM(טבלה1[[#This Row],[גודל 3]:[גודל 4]])</f>
        <v>0</v>
      </c>
    </row>
    <row r="184" spans="1:5" ht="18" x14ac:dyDescent="0.25">
      <c r="A184" s="52" t="s">
        <v>402</v>
      </c>
      <c r="D184">
        <f>SUM(טבלה1[[#This Row],[גודל 3]:[גודל 4]])</f>
        <v>0</v>
      </c>
    </row>
    <row r="185" spans="1:5" ht="18" x14ac:dyDescent="0.25">
      <c r="A185" s="52" t="s">
        <v>335</v>
      </c>
      <c r="B185">
        <f>25+10</f>
        <v>35</v>
      </c>
      <c r="D185">
        <f>SUM(טבלה1[[#This Row],[גודל 3]:[גודל 4]])</f>
        <v>35</v>
      </c>
    </row>
    <row r="186" spans="1:5" ht="18" x14ac:dyDescent="0.25">
      <c r="A186" s="52" t="s">
        <v>336</v>
      </c>
      <c r="D186">
        <f>SUM(טבלה1[[#This Row],[גודל 3]:[גודל 4]])</f>
        <v>0</v>
      </c>
    </row>
    <row r="187" spans="1:5" ht="18" x14ac:dyDescent="0.25">
      <c r="A187" s="52" t="s">
        <v>403</v>
      </c>
      <c r="D187">
        <f>SUM(טבלה1[[#This Row],[גודל 3]:[גודל 4]])</f>
        <v>0</v>
      </c>
    </row>
    <row r="188" spans="1:5" ht="18" x14ac:dyDescent="0.25">
      <c r="A188" s="52" t="s">
        <v>337</v>
      </c>
      <c r="D188">
        <f>SUM(טבלה1[[#This Row],[גודל 3]:[גודל 4]])</f>
        <v>0</v>
      </c>
    </row>
    <row r="189" spans="1:5" ht="18" x14ac:dyDescent="0.25">
      <c r="A189" s="52" t="s">
        <v>339</v>
      </c>
      <c r="D189">
        <f>SUM(טבלה1[[#This Row],[גודל 3]:[גודל 4]])</f>
        <v>0</v>
      </c>
    </row>
    <row r="190" spans="1:5" ht="18" x14ac:dyDescent="0.25">
      <c r="A190" s="72" t="s">
        <v>404</v>
      </c>
      <c r="D190">
        <f>SUM(טבלה1[[#This Row],[גודל 3]:[גודל 4]])</f>
        <v>0</v>
      </c>
    </row>
    <row r="191" spans="1:5" x14ac:dyDescent="0.25">
      <c r="A191" s="70"/>
      <c r="B191" s="68">
        <f>SUBTOTAL(109,B3:B190)</f>
        <v>17081</v>
      </c>
      <c r="C191" s="68">
        <f>SUBTOTAL(109,C3:C190)</f>
        <v>1582</v>
      </c>
      <c r="D191" s="68">
        <f>SUM(טבלה1[[#This Row],[גודל 3]:[גודל 4]])</f>
        <v>18663</v>
      </c>
      <c r="E191" s="68">
        <f>SUM(E3:E190)</f>
        <v>0</v>
      </c>
    </row>
    <row r="192" spans="1:5" x14ac:dyDescent="0.25">
      <c r="C192" s="105"/>
    </row>
    <row r="193" spans="2:2" x14ac:dyDescent="0.25">
      <c r="B193" s="105"/>
    </row>
  </sheetData>
  <phoneticPr fontId="29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05"/>
  <sheetViews>
    <sheetView rightToLeft="1" topLeftCell="A305" zoomScale="85" zoomScaleNormal="85" workbookViewId="0">
      <pane ySplit="2" topLeftCell="A435" activePane="bottomLeft" state="frozen"/>
      <selection activeCell="A305" sqref="A305"/>
      <selection pane="bottomLeft" activeCell="J438" sqref="J438"/>
    </sheetView>
  </sheetViews>
  <sheetFormatPr defaultColWidth="9" defaultRowHeight="18.75" x14ac:dyDescent="0.25"/>
  <cols>
    <col min="1" max="1" width="7.140625" style="19" customWidth="1"/>
    <col min="2" max="2" width="23" style="19" customWidth="1"/>
    <col min="3" max="3" width="10.42578125" style="19" customWidth="1"/>
    <col min="4" max="5" width="10.140625" style="19" customWidth="1"/>
    <col min="6" max="6" width="11.28515625" style="19" bestFit="1" customWidth="1"/>
    <col min="7" max="7" width="11.28515625" style="19" customWidth="1"/>
    <col min="8" max="8" width="9.7109375" style="19" bestFit="1" customWidth="1"/>
    <col min="9" max="9" width="14" style="19" customWidth="1"/>
    <col min="10" max="12" width="9" style="19"/>
    <col min="13" max="13" width="9.7109375" style="19" bestFit="1" customWidth="1"/>
    <col min="14" max="16384" width="9" style="19"/>
  </cols>
  <sheetData>
    <row r="1" spans="1:11" ht="19.5" hidden="1" thickBot="1" x14ac:dyDescent="0.3">
      <c r="A1" s="18"/>
      <c r="B1" s="18"/>
      <c r="C1" s="18"/>
      <c r="D1" s="18"/>
      <c r="I1" s="93"/>
      <c r="J1" s="93"/>
      <c r="K1" s="94"/>
    </row>
    <row r="2" spans="1:11" ht="19.5" hidden="1" thickBot="1" x14ac:dyDescent="0.3">
      <c r="A2" s="18" t="s">
        <v>405</v>
      </c>
      <c r="B2" s="20" t="s">
        <v>82</v>
      </c>
      <c r="C2" s="20" t="s">
        <v>342</v>
      </c>
      <c r="D2" s="20" t="s">
        <v>343</v>
      </c>
      <c r="E2" s="183"/>
    </row>
    <row r="3" spans="1:11" ht="19.5" hidden="1" thickBot="1" x14ac:dyDescent="0.3">
      <c r="A3" s="21">
        <v>1</v>
      </c>
      <c r="B3" s="21" t="s">
        <v>239</v>
      </c>
      <c r="C3" s="22">
        <v>846</v>
      </c>
      <c r="D3" s="22"/>
      <c r="E3" s="184"/>
    </row>
    <row r="4" spans="1:11" ht="19.5" hidden="1" thickBot="1" x14ac:dyDescent="0.3">
      <c r="A4" s="21">
        <v>2</v>
      </c>
      <c r="B4" s="21" t="s">
        <v>406</v>
      </c>
      <c r="C4" s="22">
        <v>558</v>
      </c>
      <c r="D4" s="22"/>
      <c r="E4" s="184"/>
      <c r="I4"/>
      <c r="J4"/>
      <c r="K4"/>
    </row>
    <row r="5" spans="1:11" ht="19.5" hidden="1" thickBot="1" x14ac:dyDescent="0.3">
      <c r="A5" s="21">
        <v>3</v>
      </c>
      <c r="B5" s="21" t="s">
        <v>407</v>
      </c>
      <c r="C5" s="22">
        <v>888</v>
      </c>
      <c r="D5" s="22"/>
      <c r="E5" s="184"/>
    </row>
    <row r="6" spans="1:11" ht="19.5" hidden="1" thickBot="1" x14ac:dyDescent="0.3">
      <c r="A6" s="21">
        <v>4</v>
      </c>
      <c r="B6" s="21" t="s">
        <v>408</v>
      </c>
      <c r="C6" s="22">
        <f>86.5*12</f>
        <v>1038</v>
      </c>
      <c r="D6" s="22"/>
      <c r="E6" s="184"/>
    </row>
    <row r="7" spans="1:11" ht="19.5" hidden="1" thickBot="1" x14ac:dyDescent="0.3">
      <c r="A7" s="21">
        <v>5</v>
      </c>
      <c r="B7" s="21" t="s">
        <v>385</v>
      </c>
      <c r="C7" s="22">
        <f>98*12</f>
        <v>1176</v>
      </c>
      <c r="D7" s="22"/>
      <c r="E7" s="184"/>
    </row>
    <row r="8" spans="1:11" ht="19.5" hidden="1" thickBot="1" x14ac:dyDescent="0.3">
      <c r="A8" s="21">
        <v>6</v>
      </c>
      <c r="B8" s="21" t="s">
        <v>409</v>
      </c>
      <c r="C8" s="22">
        <v>1278</v>
      </c>
      <c r="D8" s="22"/>
      <c r="E8" s="184"/>
    </row>
    <row r="9" spans="1:11" ht="19.5" hidden="1" thickBot="1" x14ac:dyDescent="0.3">
      <c r="A9" s="21">
        <v>7</v>
      </c>
      <c r="B9" s="21" t="s">
        <v>410</v>
      </c>
      <c r="C9" s="22">
        <v>2160</v>
      </c>
      <c r="D9" s="22"/>
      <c r="E9" s="184"/>
    </row>
    <row r="10" spans="1:11" ht="19.5" hidden="1" thickBot="1" x14ac:dyDescent="0.3">
      <c r="A10" s="21">
        <v>8</v>
      </c>
      <c r="B10" s="21" t="s">
        <v>224</v>
      </c>
      <c r="C10" s="22">
        <v>1836</v>
      </c>
      <c r="D10" s="22"/>
      <c r="E10" s="184"/>
    </row>
    <row r="11" spans="1:11" ht="19.5" hidden="1" thickBot="1" x14ac:dyDescent="0.3">
      <c r="A11" s="21">
        <v>9</v>
      </c>
      <c r="B11" s="21" t="s">
        <v>411</v>
      </c>
      <c r="C11" s="22">
        <v>5150</v>
      </c>
      <c r="D11" s="22"/>
      <c r="E11" s="184"/>
    </row>
    <row r="12" spans="1:11" ht="19.5" hidden="1" thickBot="1" x14ac:dyDescent="0.3">
      <c r="A12" s="21">
        <v>10</v>
      </c>
      <c r="B12" s="21" t="s">
        <v>327</v>
      </c>
      <c r="C12" s="22">
        <f>155.5*12</f>
        <v>1866</v>
      </c>
      <c r="D12" s="22"/>
      <c r="E12" s="184"/>
    </row>
    <row r="13" spans="1:11" ht="19.5" hidden="1" thickBot="1" x14ac:dyDescent="0.3">
      <c r="A13" s="21">
        <v>11</v>
      </c>
      <c r="B13" s="21" t="s">
        <v>412</v>
      </c>
      <c r="C13" s="22">
        <f>20.5*12</f>
        <v>246</v>
      </c>
      <c r="D13" s="22"/>
      <c r="E13" s="184"/>
    </row>
    <row r="14" spans="1:11" ht="19.5" hidden="1" thickBot="1" x14ac:dyDescent="0.3">
      <c r="A14" s="21">
        <v>12</v>
      </c>
      <c r="B14" s="21" t="s">
        <v>185</v>
      </c>
      <c r="C14" s="22">
        <f>19*12</f>
        <v>228</v>
      </c>
      <c r="D14" s="22"/>
      <c r="E14" s="184"/>
    </row>
    <row r="15" spans="1:11" ht="19.5" hidden="1" thickBot="1" x14ac:dyDescent="0.3">
      <c r="A15" s="21">
        <v>13</v>
      </c>
      <c r="B15" s="21" t="s">
        <v>413</v>
      </c>
      <c r="C15" s="22">
        <f>43*12</f>
        <v>516</v>
      </c>
      <c r="D15" s="22"/>
      <c r="E15" s="184"/>
    </row>
    <row r="16" spans="1:11" ht="19.5" hidden="1" thickBot="1" x14ac:dyDescent="0.3">
      <c r="A16" s="21">
        <v>14</v>
      </c>
      <c r="B16" s="21" t="s">
        <v>414</v>
      </c>
      <c r="C16" s="22">
        <f>44*12</f>
        <v>528</v>
      </c>
      <c r="D16" s="22"/>
      <c r="E16" s="184"/>
    </row>
    <row r="17" spans="1:5" ht="19.5" hidden="1" thickBot="1" x14ac:dyDescent="0.3">
      <c r="A17" s="21">
        <v>15</v>
      </c>
      <c r="B17" s="21" t="s">
        <v>276</v>
      </c>
      <c r="C17" s="22">
        <f>34*12</f>
        <v>408</v>
      </c>
      <c r="D17" s="22"/>
      <c r="E17" s="184"/>
    </row>
    <row r="18" spans="1:5" ht="19.5" hidden="1" thickBot="1" x14ac:dyDescent="0.3">
      <c r="A18" s="21">
        <v>16</v>
      </c>
      <c r="B18" s="21" t="s">
        <v>415</v>
      </c>
      <c r="C18" s="22">
        <f>10.5*12</f>
        <v>126</v>
      </c>
      <c r="D18" s="22"/>
      <c r="E18" s="184"/>
    </row>
    <row r="19" spans="1:5" ht="19.5" hidden="1" thickBot="1" x14ac:dyDescent="0.3">
      <c r="A19" s="21">
        <v>17</v>
      </c>
      <c r="B19" s="21" t="s">
        <v>416</v>
      </c>
      <c r="C19" s="22">
        <f>47*12</f>
        <v>564</v>
      </c>
      <c r="D19" s="22"/>
      <c r="E19" s="184"/>
    </row>
    <row r="20" spans="1:5" ht="19.5" hidden="1" thickBot="1" x14ac:dyDescent="0.3">
      <c r="A20" s="21">
        <v>18</v>
      </c>
      <c r="B20" s="21" t="s">
        <v>417</v>
      </c>
      <c r="C20" s="22">
        <f>190*12</f>
        <v>2280</v>
      </c>
      <c r="D20" s="22"/>
      <c r="E20" s="184"/>
    </row>
    <row r="21" spans="1:5" ht="19.5" hidden="1" thickBot="1" x14ac:dyDescent="0.3">
      <c r="A21" s="21">
        <v>19</v>
      </c>
      <c r="B21" s="21" t="s">
        <v>418</v>
      </c>
      <c r="C21" s="22">
        <v>1446</v>
      </c>
      <c r="D21" s="22"/>
      <c r="E21" s="184"/>
    </row>
    <row r="22" spans="1:5" ht="19.5" hidden="1" thickBot="1" x14ac:dyDescent="0.3">
      <c r="A22" s="21">
        <v>20</v>
      </c>
      <c r="B22" s="21" t="s">
        <v>245</v>
      </c>
      <c r="C22" s="22">
        <f>236*12</f>
        <v>2832</v>
      </c>
      <c r="D22" s="22"/>
      <c r="E22" s="184"/>
    </row>
    <row r="23" spans="1:5" ht="19.5" hidden="1" thickBot="1" x14ac:dyDescent="0.3">
      <c r="A23" s="21">
        <v>21</v>
      </c>
      <c r="B23" s="21" t="s">
        <v>289</v>
      </c>
      <c r="C23" s="22">
        <f>32*12</f>
        <v>384</v>
      </c>
      <c r="D23" s="22"/>
      <c r="E23" s="184"/>
    </row>
    <row r="24" spans="1:5" ht="19.5" hidden="1" thickBot="1" x14ac:dyDescent="0.3">
      <c r="A24" s="21">
        <v>22</v>
      </c>
      <c r="B24" s="21" t="s">
        <v>187</v>
      </c>
      <c r="C24" s="22">
        <f>48.5*12</f>
        <v>582</v>
      </c>
      <c r="D24" s="22"/>
      <c r="E24" s="184"/>
    </row>
    <row r="25" spans="1:5" ht="19.5" hidden="1" thickBot="1" x14ac:dyDescent="0.3">
      <c r="A25" s="21">
        <v>23</v>
      </c>
      <c r="B25" s="21" t="s">
        <v>384</v>
      </c>
      <c r="C25" s="22">
        <f>225*12</f>
        <v>2700</v>
      </c>
      <c r="D25" s="22"/>
      <c r="E25" s="184"/>
    </row>
    <row r="26" spans="1:5" ht="19.5" hidden="1" thickBot="1" x14ac:dyDescent="0.3">
      <c r="A26" s="21">
        <v>24</v>
      </c>
      <c r="B26" s="21" t="s">
        <v>419</v>
      </c>
      <c r="C26" s="22"/>
      <c r="D26" s="22">
        <f>39*6</f>
        <v>234</v>
      </c>
      <c r="E26" s="184"/>
    </row>
    <row r="27" spans="1:5" ht="19.5" hidden="1" thickBot="1" x14ac:dyDescent="0.3">
      <c r="A27" s="21">
        <v>25</v>
      </c>
      <c r="B27" s="21" t="s">
        <v>131</v>
      </c>
      <c r="C27" s="22"/>
      <c r="D27" s="22">
        <v>1758</v>
      </c>
      <c r="E27" s="184"/>
    </row>
    <row r="28" spans="1:5" ht="19.5" hidden="1" thickBot="1" x14ac:dyDescent="0.3">
      <c r="A28" s="21">
        <v>26</v>
      </c>
      <c r="B28" s="21" t="s">
        <v>138</v>
      </c>
      <c r="C28" s="22"/>
      <c r="D28" s="22"/>
      <c r="E28" s="184"/>
    </row>
    <row r="29" spans="1:5" ht="19.5" hidden="1" thickBot="1" x14ac:dyDescent="0.3">
      <c r="A29" s="21">
        <v>27</v>
      </c>
      <c r="B29" s="21" t="s">
        <v>419</v>
      </c>
      <c r="C29" s="22"/>
      <c r="D29" s="22"/>
      <c r="E29" s="184"/>
    </row>
    <row r="30" spans="1:5" ht="19.5" hidden="1" thickBot="1" x14ac:dyDescent="0.3">
      <c r="A30" s="21">
        <v>28</v>
      </c>
      <c r="B30" s="21" t="s">
        <v>415</v>
      </c>
      <c r="C30" s="22"/>
      <c r="D30" s="22"/>
      <c r="E30" s="184"/>
    </row>
    <row r="31" spans="1:5" ht="19.5" hidden="1" thickBot="1" x14ac:dyDescent="0.3">
      <c r="A31" s="21">
        <v>29</v>
      </c>
      <c r="B31" s="21" t="s">
        <v>417</v>
      </c>
      <c r="C31" s="22"/>
      <c r="D31" s="22"/>
      <c r="E31" s="184"/>
    </row>
    <row r="32" spans="1:5" ht="19.5" hidden="1" thickBot="1" x14ac:dyDescent="0.3">
      <c r="A32" s="21">
        <v>30</v>
      </c>
      <c r="B32" s="21" t="s">
        <v>420</v>
      </c>
      <c r="C32" s="22"/>
      <c r="D32" s="22"/>
      <c r="E32" s="184"/>
    </row>
    <row r="33" spans="1:5" ht="19.5" hidden="1" thickBot="1" x14ac:dyDescent="0.3">
      <c r="A33" s="21">
        <v>31</v>
      </c>
      <c r="B33" s="21" t="s">
        <v>413</v>
      </c>
      <c r="C33" s="22"/>
      <c r="D33" s="22"/>
      <c r="E33" s="184"/>
    </row>
    <row r="34" spans="1:5" ht="19.5" hidden="1" thickBot="1" x14ac:dyDescent="0.3">
      <c r="A34" s="21">
        <v>32</v>
      </c>
      <c r="B34" s="21" t="s">
        <v>97</v>
      </c>
      <c r="C34" s="22"/>
      <c r="D34" s="22"/>
      <c r="E34" s="184"/>
    </row>
    <row r="35" spans="1:5" ht="19.5" hidden="1" thickBot="1" x14ac:dyDescent="0.3">
      <c r="A35" s="21">
        <v>33</v>
      </c>
      <c r="B35" s="21" t="s">
        <v>421</v>
      </c>
      <c r="C35" s="22"/>
      <c r="D35" s="22"/>
      <c r="E35" s="184"/>
    </row>
    <row r="36" spans="1:5" ht="19.5" hidden="1" thickBot="1" x14ac:dyDescent="0.3">
      <c r="A36" s="21">
        <v>34</v>
      </c>
      <c r="B36" s="21" t="s">
        <v>422</v>
      </c>
      <c r="C36" s="22">
        <f>79*12</f>
        <v>948</v>
      </c>
      <c r="D36" s="22"/>
      <c r="E36" s="184"/>
    </row>
    <row r="37" spans="1:5" ht="19.5" hidden="1" thickBot="1" x14ac:dyDescent="0.3">
      <c r="A37" s="21">
        <v>35</v>
      </c>
      <c r="B37" s="21" t="s">
        <v>423</v>
      </c>
      <c r="C37" s="22">
        <f>85*12</f>
        <v>1020</v>
      </c>
      <c r="D37" s="22"/>
      <c r="E37" s="184"/>
    </row>
    <row r="38" spans="1:5" ht="19.5" hidden="1" thickBot="1" x14ac:dyDescent="0.3">
      <c r="A38" s="21">
        <v>36</v>
      </c>
      <c r="B38" s="21" t="s">
        <v>424</v>
      </c>
      <c r="C38" s="22">
        <f>17*12</f>
        <v>204</v>
      </c>
      <c r="D38" s="22"/>
      <c r="E38" s="184"/>
    </row>
    <row r="39" spans="1:5" ht="19.5" hidden="1" thickBot="1" x14ac:dyDescent="0.3">
      <c r="A39" s="21">
        <v>37</v>
      </c>
      <c r="B39" s="21" t="s">
        <v>425</v>
      </c>
      <c r="C39" s="22">
        <f>63.5*12</f>
        <v>762</v>
      </c>
      <c r="D39" s="22"/>
      <c r="E39" s="184"/>
    </row>
    <row r="40" spans="1:5" ht="19.5" hidden="1" thickBot="1" x14ac:dyDescent="0.3">
      <c r="A40" s="21">
        <v>38</v>
      </c>
      <c r="B40" s="21" t="s">
        <v>384</v>
      </c>
      <c r="C40" s="22">
        <f>18.5*12</f>
        <v>222</v>
      </c>
      <c r="D40" s="22"/>
      <c r="E40" s="184"/>
    </row>
    <row r="41" spans="1:5" ht="19.5" hidden="1" thickBot="1" x14ac:dyDescent="0.3">
      <c r="A41" s="21">
        <v>39</v>
      </c>
      <c r="B41" s="21" t="s">
        <v>426</v>
      </c>
      <c r="C41" s="22">
        <f>86*12</f>
        <v>1032</v>
      </c>
      <c r="D41" s="22"/>
      <c r="E41" s="184"/>
    </row>
    <row r="42" spans="1:5" ht="19.5" hidden="1" thickBot="1" x14ac:dyDescent="0.3">
      <c r="A42" s="21">
        <v>40</v>
      </c>
      <c r="B42" s="21" t="s">
        <v>427</v>
      </c>
      <c r="C42" s="22">
        <f>85*12</f>
        <v>1020</v>
      </c>
      <c r="D42" s="22"/>
      <c r="E42" s="184"/>
    </row>
    <row r="43" spans="1:5" ht="19.5" hidden="1" thickBot="1" x14ac:dyDescent="0.3">
      <c r="A43" s="21">
        <v>41</v>
      </c>
      <c r="B43" s="21" t="s">
        <v>289</v>
      </c>
      <c r="C43" s="22">
        <f>1224+48</f>
        <v>1272</v>
      </c>
      <c r="D43" s="22"/>
      <c r="E43" s="184"/>
    </row>
    <row r="44" spans="1:5" ht="19.5" hidden="1" thickBot="1" x14ac:dyDescent="0.3">
      <c r="A44" s="21">
        <v>42</v>
      </c>
      <c r="B44" s="21" t="s">
        <v>428</v>
      </c>
      <c r="C44" s="22">
        <v>1164</v>
      </c>
      <c r="D44" s="22"/>
      <c r="E44" s="184"/>
    </row>
    <row r="45" spans="1:5" ht="19.5" hidden="1" thickBot="1" x14ac:dyDescent="0.3">
      <c r="A45" s="21">
        <v>43</v>
      </c>
      <c r="B45" s="21" t="s">
        <v>410</v>
      </c>
      <c r="C45" s="22">
        <f>133+420+300</f>
        <v>853</v>
      </c>
      <c r="D45" s="22"/>
      <c r="E45" s="184"/>
    </row>
    <row r="46" spans="1:5" ht="19.5" hidden="1" thickBot="1" x14ac:dyDescent="0.3">
      <c r="A46" s="21">
        <v>44</v>
      </c>
      <c r="B46" s="21" t="s">
        <v>407</v>
      </c>
      <c r="C46" s="22">
        <v>300</v>
      </c>
      <c r="D46" s="22"/>
      <c r="E46" s="184"/>
    </row>
    <row r="47" spans="1:5" ht="19.5" hidden="1" thickBot="1" x14ac:dyDescent="0.3">
      <c r="A47" s="21">
        <v>45</v>
      </c>
      <c r="B47" s="21" t="s">
        <v>425</v>
      </c>
      <c r="C47" s="22">
        <v>540</v>
      </c>
      <c r="D47" s="22"/>
      <c r="E47" s="184"/>
    </row>
    <row r="48" spans="1:5" ht="19.5" hidden="1" thickBot="1" x14ac:dyDescent="0.3">
      <c r="A48" s="21">
        <v>46</v>
      </c>
      <c r="B48" s="21" t="s">
        <v>239</v>
      </c>
      <c r="C48" s="22">
        <v>2136</v>
      </c>
      <c r="D48" s="22"/>
      <c r="E48" s="184"/>
    </row>
    <row r="49" spans="1:5" ht="19.5" hidden="1" thickBot="1" x14ac:dyDescent="0.3">
      <c r="A49" s="21">
        <v>47</v>
      </c>
      <c r="B49" s="21" t="s">
        <v>199</v>
      </c>
      <c r="C49" s="22">
        <v>1224</v>
      </c>
      <c r="D49" s="22"/>
      <c r="E49" s="184"/>
    </row>
    <row r="50" spans="1:5" ht="19.5" hidden="1" thickBot="1" x14ac:dyDescent="0.3">
      <c r="A50" s="21">
        <v>48</v>
      </c>
      <c r="B50" s="21" t="s">
        <v>138</v>
      </c>
      <c r="C50" s="22">
        <v>348</v>
      </c>
      <c r="D50" s="22"/>
      <c r="E50" s="184"/>
    </row>
    <row r="51" spans="1:5" ht="19.5" hidden="1" thickBot="1" x14ac:dyDescent="0.3">
      <c r="A51" s="21">
        <v>49</v>
      </c>
      <c r="B51" s="21" t="s">
        <v>418</v>
      </c>
      <c r="C51" s="22">
        <f>108+780</f>
        <v>888</v>
      </c>
      <c r="D51" s="22"/>
      <c r="E51" s="184"/>
    </row>
    <row r="52" spans="1:5" ht="19.5" hidden="1" thickBot="1" x14ac:dyDescent="0.3">
      <c r="A52" s="21">
        <v>50</v>
      </c>
      <c r="B52" s="21" t="s">
        <v>192</v>
      </c>
      <c r="C52" s="22">
        <v>684</v>
      </c>
      <c r="D52" s="22"/>
      <c r="E52" s="184"/>
    </row>
    <row r="53" spans="1:5" ht="19.5" hidden="1" thickBot="1" x14ac:dyDescent="0.3">
      <c r="A53" s="21">
        <v>51</v>
      </c>
      <c r="B53" s="21" t="s">
        <v>421</v>
      </c>
      <c r="C53" s="22">
        <f>648+780</f>
        <v>1428</v>
      </c>
      <c r="D53" s="22"/>
      <c r="E53" s="184"/>
    </row>
    <row r="54" spans="1:5" ht="19.5" hidden="1" thickBot="1" x14ac:dyDescent="0.3">
      <c r="A54" s="21">
        <v>52</v>
      </c>
      <c r="B54" s="21"/>
      <c r="C54" s="22"/>
      <c r="D54" s="22"/>
      <c r="E54" s="184"/>
    </row>
    <row r="55" spans="1:5" ht="19.5" hidden="1" thickBot="1" x14ac:dyDescent="0.3">
      <c r="A55" s="21">
        <v>53</v>
      </c>
      <c r="B55" s="21"/>
      <c r="C55" s="22"/>
      <c r="D55" s="22"/>
      <c r="E55" s="184"/>
    </row>
    <row r="56" spans="1:5" ht="19.5" hidden="1" thickBot="1" x14ac:dyDescent="0.3">
      <c r="A56" s="21">
        <v>21</v>
      </c>
      <c r="B56" s="21" t="s">
        <v>429</v>
      </c>
      <c r="C56" s="22">
        <f>SUM(C3:C55)</f>
        <v>45681</v>
      </c>
      <c r="D56" s="22">
        <f>SUM(D3:D55)</f>
        <v>1992</v>
      </c>
      <c r="E56" s="184"/>
    </row>
    <row r="57" spans="1:5" ht="36.75" hidden="1" thickBot="1" x14ac:dyDescent="0.3">
      <c r="A57" s="21">
        <v>22</v>
      </c>
      <c r="B57" s="23" t="s">
        <v>430</v>
      </c>
      <c r="C57" s="22"/>
      <c r="D57" s="22"/>
      <c r="E57" s="184"/>
    </row>
    <row r="58" spans="1:5" ht="36.75" hidden="1" thickBot="1" x14ac:dyDescent="0.3">
      <c r="A58" s="21">
        <v>24</v>
      </c>
      <c r="B58" s="23" t="s">
        <v>431</v>
      </c>
      <c r="C58" s="22" t="e">
        <f>#REF!</f>
        <v>#REF!</v>
      </c>
      <c r="D58" s="22"/>
      <c r="E58" s="184"/>
    </row>
    <row r="59" spans="1:5" ht="36.75" hidden="1" thickBot="1" x14ac:dyDescent="0.3">
      <c r="A59" s="21">
        <v>26</v>
      </c>
      <c r="B59" s="23" t="s">
        <v>432</v>
      </c>
      <c r="C59" s="24" t="e">
        <f>#REF!+C58</f>
        <v>#REF!</v>
      </c>
      <c r="D59" s="22"/>
      <c r="E59" s="184"/>
    </row>
    <row r="60" spans="1:5" ht="19.5" hidden="1" thickBot="1" x14ac:dyDescent="0.3">
      <c r="A60" s="21">
        <v>58</v>
      </c>
      <c r="B60" s="21"/>
      <c r="C60" s="22"/>
      <c r="D60" s="22"/>
      <c r="E60" s="184"/>
    </row>
    <row r="61" spans="1:5" ht="19.5" hidden="1" thickBot="1" x14ac:dyDescent="0.3">
      <c r="A61" s="36">
        <v>43070</v>
      </c>
      <c r="B61" s="20" t="s">
        <v>82</v>
      </c>
      <c r="C61" s="20" t="s">
        <v>342</v>
      </c>
      <c r="D61" s="20" t="s">
        <v>343</v>
      </c>
      <c r="E61" s="183"/>
    </row>
    <row r="62" spans="1:5" ht="19.5" hidden="1" thickBot="1" x14ac:dyDescent="0.3">
      <c r="A62" s="21">
        <v>1</v>
      </c>
      <c r="B62" s="21" t="s">
        <v>183</v>
      </c>
      <c r="C62" s="22">
        <v>1285</v>
      </c>
      <c r="D62" s="25">
        <v>3912</v>
      </c>
      <c r="E62" s="185"/>
    </row>
    <row r="63" spans="1:5" ht="19.5" hidden="1" thickBot="1" x14ac:dyDescent="0.3">
      <c r="A63" s="21">
        <v>6</v>
      </c>
      <c r="B63" s="21" t="s">
        <v>433</v>
      </c>
      <c r="C63" s="22">
        <v>4100</v>
      </c>
      <c r="D63" s="22"/>
      <c r="E63" s="184"/>
    </row>
    <row r="64" spans="1:5" ht="19.5" hidden="1" thickBot="1" x14ac:dyDescent="0.3">
      <c r="A64" s="21">
        <v>7</v>
      </c>
      <c r="B64" s="21" t="s">
        <v>415</v>
      </c>
      <c r="C64" s="22">
        <f>970+23*12+60*12</f>
        <v>1966</v>
      </c>
      <c r="D64" s="22"/>
      <c r="E64" s="184"/>
    </row>
    <row r="65" spans="1:5" ht="19.5" hidden="1" thickBot="1" x14ac:dyDescent="0.3">
      <c r="A65" s="21">
        <v>9</v>
      </c>
      <c r="B65" s="21" t="s">
        <v>422</v>
      </c>
      <c r="C65" s="22">
        <f>2050+37*12+24+54*12+18*12+12*24</f>
        <v>3670</v>
      </c>
      <c r="D65" s="22"/>
      <c r="E65" s="184"/>
    </row>
    <row r="66" spans="1:5" ht="19.5" hidden="1" thickBot="1" x14ac:dyDescent="0.3">
      <c r="A66" s="21">
        <v>11</v>
      </c>
      <c r="B66" s="21" t="s">
        <v>180</v>
      </c>
      <c r="C66" s="22"/>
      <c r="D66" s="22"/>
      <c r="E66" s="184"/>
    </row>
    <row r="67" spans="1:5" ht="19.5" hidden="1" thickBot="1" x14ac:dyDescent="0.3">
      <c r="A67" s="21">
        <v>13</v>
      </c>
      <c r="B67" s="21" t="s">
        <v>434</v>
      </c>
      <c r="C67" s="22"/>
      <c r="D67" s="22"/>
      <c r="E67" s="184"/>
    </row>
    <row r="68" spans="1:5" ht="19.5" hidden="1" thickBot="1" x14ac:dyDescent="0.3">
      <c r="A68" s="21">
        <v>15</v>
      </c>
      <c r="B68" s="21" t="s">
        <v>435</v>
      </c>
      <c r="C68" s="22">
        <f>87*12</f>
        <v>1044</v>
      </c>
      <c r="D68" s="22"/>
      <c r="E68" s="184"/>
    </row>
    <row r="69" spans="1:5" ht="19.5" hidden="1" thickBot="1" x14ac:dyDescent="0.3">
      <c r="A69" s="21">
        <v>16</v>
      </c>
      <c r="B69" s="21" t="s">
        <v>255</v>
      </c>
      <c r="C69" s="22">
        <f>12*12</f>
        <v>144</v>
      </c>
      <c r="D69" s="22"/>
      <c r="E69" s="184"/>
    </row>
    <row r="70" spans="1:5" ht="19.5" hidden="1" thickBot="1" x14ac:dyDescent="0.3">
      <c r="A70" s="21">
        <v>17</v>
      </c>
      <c r="B70" s="21" t="s">
        <v>414</v>
      </c>
      <c r="C70" s="22">
        <f>20*12+35*12</f>
        <v>660</v>
      </c>
      <c r="D70" s="22"/>
      <c r="E70" s="184"/>
    </row>
    <row r="71" spans="1:5" ht="19.5" hidden="1" thickBot="1" x14ac:dyDescent="0.3">
      <c r="A71" s="21">
        <v>18</v>
      </c>
      <c r="B71" s="21" t="s">
        <v>133</v>
      </c>
      <c r="C71" s="22"/>
      <c r="D71" s="22"/>
      <c r="E71" s="184"/>
    </row>
    <row r="72" spans="1:5" ht="19.5" hidden="1" thickBot="1" x14ac:dyDescent="0.3">
      <c r="A72" s="21">
        <v>19</v>
      </c>
      <c r="B72" s="21" t="s">
        <v>427</v>
      </c>
      <c r="C72" s="22">
        <f>864</f>
        <v>864</v>
      </c>
      <c r="D72" s="22"/>
      <c r="E72" s="184"/>
    </row>
    <row r="73" spans="1:5" ht="19.5" hidden="1" thickBot="1" x14ac:dyDescent="0.3">
      <c r="A73" s="21">
        <v>20</v>
      </c>
      <c r="B73" s="21" t="s">
        <v>327</v>
      </c>
      <c r="C73" s="22">
        <f>16*12+636</f>
        <v>828</v>
      </c>
      <c r="D73" s="22"/>
      <c r="E73" s="184"/>
    </row>
    <row r="74" spans="1:5" ht="19.5" hidden="1" thickBot="1" x14ac:dyDescent="0.3">
      <c r="A74" s="21">
        <v>21</v>
      </c>
      <c r="B74" s="21" t="s">
        <v>385</v>
      </c>
      <c r="C74" s="22">
        <f>12*86</f>
        <v>1032</v>
      </c>
      <c r="D74" s="22"/>
      <c r="E74" s="184"/>
    </row>
    <row r="75" spans="1:5" ht="19.5" hidden="1" thickBot="1" x14ac:dyDescent="0.3">
      <c r="A75" s="21">
        <v>22</v>
      </c>
      <c r="B75" s="21" t="s">
        <v>185</v>
      </c>
      <c r="C75" s="22">
        <f>20*12</f>
        <v>240</v>
      </c>
      <c r="D75" s="22"/>
      <c r="E75" s="184"/>
    </row>
    <row r="76" spans="1:5" ht="19.5" hidden="1" thickBot="1" x14ac:dyDescent="0.3">
      <c r="A76" s="21">
        <v>25</v>
      </c>
      <c r="B76" s="21" t="s">
        <v>309</v>
      </c>
      <c r="C76" s="22">
        <f>21*12</f>
        <v>252</v>
      </c>
      <c r="D76" s="22"/>
      <c r="E76" s="184"/>
    </row>
    <row r="77" spans="1:5" ht="19.5" hidden="1" thickBot="1" x14ac:dyDescent="0.3">
      <c r="A77" s="21">
        <v>26</v>
      </c>
      <c r="B77" s="21" t="s">
        <v>436</v>
      </c>
      <c r="C77" s="22"/>
      <c r="D77" s="22"/>
      <c r="E77" s="184"/>
    </row>
    <row r="78" spans="1:5" ht="19.5" hidden="1" thickBot="1" x14ac:dyDescent="0.3">
      <c r="A78" s="21">
        <v>27</v>
      </c>
      <c r="B78" s="21" t="s">
        <v>437</v>
      </c>
      <c r="C78" s="22">
        <f>21*12</f>
        <v>252</v>
      </c>
      <c r="D78" s="22"/>
      <c r="E78" s="184"/>
    </row>
    <row r="79" spans="1:5" ht="19.5" hidden="1" thickBot="1" x14ac:dyDescent="0.3">
      <c r="A79" s="21">
        <v>28</v>
      </c>
      <c r="B79" s="21" t="s">
        <v>220</v>
      </c>
      <c r="C79" s="26">
        <f>95*12</f>
        <v>1140</v>
      </c>
      <c r="D79" s="27"/>
      <c r="E79" s="186"/>
    </row>
    <row r="80" spans="1:5" ht="19.5" hidden="1" thickBot="1" x14ac:dyDescent="0.3">
      <c r="A80" s="21">
        <v>29</v>
      </c>
      <c r="B80" s="21" t="s">
        <v>438</v>
      </c>
      <c r="C80" s="22">
        <f>95*12</f>
        <v>1140</v>
      </c>
      <c r="D80" s="22"/>
      <c r="E80" s="184"/>
    </row>
    <row r="81" spans="1:5" ht="19.5" hidden="1" thickBot="1" x14ac:dyDescent="0.3">
      <c r="A81" s="21">
        <v>30</v>
      </c>
      <c r="B81" s="23" t="s">
        <v>439</v>
      </c>
      <c r="C81" s="22">
        <f>70*12</f>
        <v>840</v>
      </c>
      <c r="D81" s="22"/>
      <c r="E81" s="184"/>
    </row>
    <row r="82" spans="1:5" ht="19.5" hidden="1" thickBot="1" x14ac:dyDescent="0.3">
      <c r="A82" s="21"/>
      <c r="B82" s="23"/>
      <c r="C82" s="27"/>
      <c r="D82" s="22"/>
      <c r="E82" s="184"/>
    </row>
    <row r="83" spans="1:5" ht="19.5" hidden="1" thickBot="1" x14ac:dyDescent="0.3">
      <c r="A83" s="28"/>
      <c r="B83" s="28" t="s">
        <v>429</v>
      </c>
      <c r="C83" s="29">
        <f>SUM(C62:C82)</f>
        <v>19457</v>
      </c>
      <c r="D83" s="29">
        <f>SUM(D62:D82)</f>
        <v>3912</v>
      </c>
      <c r="E83" s="187"/>
    </row>
    <row r="84" spans="1:5" ht="36.75" hidden="1" thickBot="1" x14ac:dyDescent="0.3">
      <c r="A84" s="28"/>
      <c r="B84" s="30" t="s">
        <v>430</v>
      </c>
      <c r="C84" s="29"/>
      <c r="D84" s="29"/>
      <c r="E84" s="187"/>
    </row>
    <row r="85" spans="1:5" ht="36.75" hidden="1" thickBot="1" x14ac:dyDescent="0.3">
      <c r="A85" s="28"/>
      <c r="B85" s="30" t="s">
        <v>431</v>
      </c>
      <c r="C85" s="29">
        <v>7330</v>
      </c>
      <c r="D85" s="29"/>
      <c r="E85" s="187"/>
    </row>
    <row r="86" spans="1:5" ht="36.75" hidden="1" thickBot="1" x14ac:dyDescent="0.3">
      <c r="A86" s="28"/>
      <c r="B86" s="30" t="s">
        <v>432</v>
      </c>
      <c r="C86" s="24" t="e">
        <f>#REF!+C85</f>
        <v>#REF!</v>
      </c>
      <c r="D86" s="29"/>
      <c r="E86" s="187"/>
    </row>
    <row r="87" spans="1:5" ht="19.5" hidden="1" thickBot="1" x14ac:dyDescent="0.3"/>
    <row r="88" spans="1:5" ht="19.5" hidden="1" thickBot="1" x14ac:dyDescent="0.3">
      <c r="A88" s="36">
        <v>43101</v>
      </c>
      <c r="B88" s="20" t="s">
        <v>82</v>
      </c>
      <c r="C88" s="20" t="s">
        <v>342</v>
      </c>
      <c r="D88" s="20" t="s">
        <v>343</v>
      </c>
      <c r="E88" s="183"/>
    </row>
    <row r="89" spans="1:5" ht="19.5" hidden="1" thickBot="1" x14ac:dyDescent="0.3">
      <c r="A89" s="10">
        <v>1</v>
      </c>
      <c r="B89" s="11" t="s">
        <v>93</v>
      </c>
      <c r="C89" s="22"/>
      <c r="D89" s="25"/>
      <c r="E89" s="185"/>
    </row>
    <row r="90" spans="1:5" ht="19.5" hidden="1" thickBot="1" x14ac:dyDescent="0.3">
      <c r="A90" s="10">
        <v>2</v>
      </c>
      <c r="B90" s="10" t="s">
        <v>347</v>
      </c>
      <c r="C90" s="22"/>
      <c r="D90" s="25"/>
      <c r="E90" s="185"/>
    </row>
    <row r="91" spans="1:5" ht="19.5" hidden="1" thickBot="1" x14ac:dyDescent="0.3">
      <c r="A91" s="10">
        <v>3</v>
      </c>
      <c r="B91" s="10" t="s">
        <v>97</v>
      </c>
      <c r="C91" s="22"/>
      <c r="D91" s="25"/>
      <c r="E91" s="185"/>
    </row>
    <row r="92" spans="1:5" ht="19.5" hidden="1" thickBot="1" x14ac:dyDescent="0.3">
      <c r="A92" s="10">
        <v>4</v>
      </c>
      <c r="B92" s="10" t="s">
        <v>99</v>
      </c>
      <c r="C92" s="22"/>
      <c r="D92" s="31"/>
      <c r="E92" s="31"/>
    </row>
    <row r="93" spans="1:5" ht="19.5" hidden="1" thickBot="1" x14ac:dyDescent="0.3">
      <c r="A93" s="10">
        <v>5</v>
      </c>
      <c r="B93" s="10" t="s">
        <v>101</v>
      </c>
      <c r="C93" s="22">
        <f>71*12</f>
        <v>852</v>
      </c>
      <c r="D93" s="22"/>
      <c r="E93" s="184"/>
    </row>
    <row r="94" spans="1:5" ht="19.5" hidden="1" thickBot="1" x14ac:dyDescent="0.3">
      <c r="A94" s="10">
        <v>6</v>
      </c>
      <c r="B94" s="10" t="s">
        <v>348</v>
      </c>
      <c r="C94" s="22"/>
      <c r="D94" s="22"/>
      <c r="E94" s="184"/>
    </row>
    <row r="95" spans="1:5" ht="19.5" hidden="1" thickBot="1" x14ac:dyDescent="0.3">
      <c r="A95" s="10">
        <v>7</v>
      </c>
      <c r="B95" s="10" t="s">
        <v>106</v>
      </c>
      <c r="C95" s="22"/>
      <c r="D95" s="22"/>
      <c r="E95" s="184"/>
    </row>
    <row r="96" spans="1:5" ht="19.5" hidden="1" thickBot="1" x14ac:dyDescent="0.3">
      <c r="A96" s="10">
        <v>8</v>
      </c>
      <c r="B96" s="13" t="s">
        <v>108</v>
      </c>
      <c r="C96" s="22"/>
      <c r="D96" s="22"/>
      <c r="E96" s="184"/>
    </row>
    <row r="97" spans="1:5" ht="19.5" hidden="1" thickBot="1" x14ac:dyDescent="0.3">
      <c r="A97" s="10">
        <v>9</v>
      </c>
      <c r="B97" s="10" t="s">
        <v>110</v>
      </c>
      <c r="C97" s="22"/>
      <c r="D97" s="22"/>
      <c r="E97" s="184"/>
    </row>
    <row r="98" spans="1:5" ht="19.5" hidden="1" thickBot="1" x14ac:dyDescent="0.3">
      <c r="A98" s="10">
        <v>10</v>
      </c>
      <c r="B98" s="10" t="s">
        <v>351</v>
      </c>
      <c r="C98" s="22"/>
      <c r="D98" s="22"/>
      <c r="E98" s="184"/>
    </row>
    <row r="99" spans="1:5" ht="19.5" hidden="1" thickBot="1" x14ac:dyDescent="0.3">
      <c r="A99" s="10">
        <v>11</v>
      </c>
      <c r="B99" s="10" t="s">
        <v>112</v>
      </c>
      <c r="C99" s="22">
        <v>252</v>
      </c>
      <c r="D99" s="22"/>
      <c r="E99" s="184"/>
    </row>
    <row r="100" spans="1:5" ht="19.5" hidden="1" thickBot="1" x14ac:dyDescent="0.3">
      <c r="A100" s="10">
        <v>12</v>
      </c>
      <c r="B100" s="10" t="s">
        <v>352</v>
      </c>
      <c r="C100" s="22"/>
      <c r="D100" s="22"/>
      <c r="E100" s="184"/>
    </row>
    <row r="101" spans="1:5" ht="19.5" hidden="1" thickBot="1" x14ac:dyDescent="0.3">
      <c r="A101" s="10">
        <v>13</v>
      </c>
      <c r="B101" s="10" t="s">
        <v>440</v>
      </c>
      <c r="C101" s="22"/>
      <c r="D101" s="22"/>
      <c r="E101" s="184"/>
    </row>
    <row r="102" spans="1:5" ht="19.5" hidden="1" thickBot="1" x14ac:dyDescent="0.3">
      <c r="A102" s="10">
        <v>14</v>
      </c>
      <c r="B102" s="10" t="s">
        <v>121</v>
      </c>
      <c r="C102" s="22"/>
      <c r="D102" s="22"/>
      <c r="E102" s="184"/>
    </row>
    <row r="103" spans="1:5" ht="19.5" hidden="1" thickBot="1" x14ac:dyDescent="0.3">
      <c r="A103" s="10">
        <v>15</v>
      </c>
      <c r="B103" s="14" t="s">
        <v>124</v>
      </c>
      <c r="C103" s="22"/>
      <c r="D103" s="22"/>
      <c r="E103" s="184"/>
    </row>
    <row r="104" spans="1:5" ht="19.5" hidden="1" thickBot="1" x14ac:dyDescent="0.3">
      <c r="A104" s="10">
        <v>16</v>
      </c>
      <c r="B104" s="10" t="s">
        <v>126</v>
      </c>
      <c r="C104" s="22"/>
      <c r="D104" s="22"/>
      <c r="E104" s="184"/>
    </row>
    <row r="105" spans="1:5" ht="19.5" hidden="1" thickBot="1" x14ac:dyDescent="0.3">
      <c r="A105" s="10">
        <v>17</v>
      </c>
      <c r="B105" s="10" t="s">
        <v>128</v>
      </c>
      <c r="C105" s="22"/>
      <c r="D105" s="22"/>
      <c r="E105" s="184"/>
    </row>
    <row r="106" spans="1:5" ht="19.5" hidden="1" thickBot="1" x14ac:dyDescent="0.3">
      <c r="A106" s="10">
        <v>18</v>
      </c>
      <c r="B106" s="10" t="s">
        <v>131</v>
      </c>
      <c r="C106" s="22"/>
      <c r="D106" s="22"/>
      <c r="E106" s="184"/>
    </row>
    <row r="107" spans="1:5" ht="19.5" hidden="1" thickBot="1" x14ac:dyDescent="0.3">
      <c r="A107" s="10">
        <v>19</v>
      </c>
      <c r="B107" s="10" t="s">
        <v>133</v>
      </c>
      <c r="C107" s="22"/>
      <c r="D107" s="22"/>
      <c r="E107" s="184"/>
    </row>
    <row r="108" spans="1:5" ht="19.5" hidden="1" thickBot="1" x14ac:dyDescent="0.3">
      <c r="A108" s="10">
        <v>20</v>
      </c>
      <c r="B108" s="10" t="s">
        <v>135</v>
      </c>
      <c r="C108" s="22"/>
      <c r="D108" s="22"/>
      <c r="E108" s="184"/>
    </row>
    <row r="109" spans="1:5" ht="19.5" hidden="1" thickBot="1" x14ac:dyDescent="0.3">
      <c r="A109" s="10">
        <v>21</v>
      </c>
      <c r="B109" s="10" t="s">
        <v>138</v>
      </c>
      <c r="C109" s="22">
        <f>34*12</f>
        <v>408</v>
      </c>
      <c r="D109" s="22"/>
      <c r="E109" s="184"/>
    </row>
    <row r="110" spans="1:5" ht="19.5" hidden="1" thickBot="1" x14ac:dyDescent="0.3">
      <c r="A110" s="10">
        <v>22</v>
      </c>
      <c r="B110" s="10" t="s">
        <v>139</v>
      </c>
      <c r="C110" s="22"/>
      <c r="D110" s="22"/>
      <c r="E110" s="184"/>
    </row>
    <row r="111" spans="1:5" ht="19.5" hidden="1" thickBot="1" x14ac:dyDescent="0.3">
      <c r="A111" s="10">
        <v>23</v>
      </c>
      <c r="B111" s="10" t="s">
        <v>147</v>
      </c>
      <c r="C111" s="22">
        <v>1032</v>
      </c>
      <c r="D111" s="22"/>
      <c r="E111" s="184"/>
    </row>
    <row r="112" spans="1:5" ht="19.5" hidden="1" thickBot="1" x14ac:dyDescent="0.3">
      <c r="A112" s="10">
        <v>24</v>
      </c>
      <c r="B112" s="10" t="s">
        <v>143</v>
      </c>
      <c r="C112" s="22"/>
      <c r="D112" s="22"/>
      <c r="E112" s="184"/>
    </row>
    <row r="113" spans="1:5" ht="19.5" hidden="1" thickBot="1" x14ac:dyDescent="0.3">
      <c r="A113" s="10">
        <v>25</v>
      </c>
      <c r="B113" s="10" t="s">
        <v>441</v>
      </c>
      <c r="C113" s="22">
        <v>2880</v>
      </c>
      <c r="D113" s="22"/>
      <c r="E113" s="184"/>
    </row>
    <row r="114" spans="1:5" ht="19.5" hidden="1" thickBot="1" x14ac:dyDescent="0.3">
      <c r="A114" s="10">
        <v>26</v>
      </c>
      <c r="B114" s="10" t="s">
        <v>152</v>
      </c>
      <c r="C114" s="22"/>
      <c r="D114" s="22"/>
      <c r="E114" s="184"/>
    </row>
    <row r="115" spans="1:5" ht="19.5" hidden="1" thickBot="1" x14ac:dyDescent="0.3">
      <c r="A115" s="10">
        <v>27</v>
      </c>
      <c r="B115" s="10" t="s">
        <v>157</v>
      </c>
      <c r="C115" s="22"/>
      <c r="D115" s="22"/>
      <c r="E115" s="184"/>
    </row>
    <row r="116" spans="1:5" ht="19.5" hidden="1" thickBot="1" x14ac:dyDescent="0.3">
      <c r="A116" s="10">
        <v>28</v>
      </c>
      <c r="B116" s="10" t="s">
        <v>159</v>
      </c>
      <c r="C116" s="22">
        <v>708</v>
      </c>
      <c r="D116" s="22"/>
      <c r="E116" s="184"/>
    </row>
    <row r="117" spans="1:5" ht="19.5" hidden="1" thickBot="1" x14ac:dyDescent="0.3">
      <c r="A117" s="10">
        <v>29</v>
      </c>
      <c r="B117" s="10" t="s">
        <v>164</v>
      </c>
      <c r="C117" s="22"/>
      <c r="D117" s="22"/>
      <c r="E117" s="184"/>
    </row>
    <row r="118" spans="1:5" ht="19.5" hidden="1" thickBot="1" x14ac:dyDescent="0.3">
      <c r="A118" s="10">
        <v>30</v>
      </c>
      <c r="B118" s="14" t="s">
        <v>166</v>
      </c>
      <c r="C118" s="22"/>
      <c r="D118" s="22"/>
      <c r="E118" s="184"/>
    </row>
    <row r="119" spans="1:5" ht="19.5" hidden="1" thickBot="1" x14ac:dyDescent="0.3">
      <c r="A119" s="10">
        <v>31</v>
      </c>
      <c r="B119" s="10" t="s">
        <v>168</v>
      </c>
      <c r="C119" s="22">
        <v>5964</v>
      </c>
      <c r="D119" s="22"/>
      <c r="E119" s="184"/>
    </row>
    <row r="120" spans="1:5" ht="19.5" hidden="1" thickBot="1" x14ac:dyDescent="0.3">
      <c r="A120" s="10">
        <v>32</v>
      </c>
      <c r="B120" s="10" t="s">
        <v>359</v>
      </c>
      <c r="C120" s="22">
        <v>696</v>
      </c>
      <c r="D120" s="22">
        <v>228</v>
      </c>
      <c r="E120" s="184"/>
    </row>
    <row r="121" spans="1:5" ht="19.5" hidden="1" thickBot="1" x14ac:dyDescent="0.3">
      <c r="A121" s="10">
        <v>33</v>
      </c>
      <c r="B121" s="10" t="s">
        <v>360</v>
      </c>
      <c r="C121" s="22"/>
      <c r="D121" s="22"/>
      <c r="E121" s="184"/>
    </row>
    <row r="122" spans="1:5" ht="19.5" hidden="1" thickBot="1" x14ac:dyDescent="0.3">
      <c r="A122" s="10">
        <v>34</v>
      </c>
      <c r="B122" s="10" t="s">
        <v>176</v>
      </c>
      <c r="C122" s="22"/>
      <c r="D122" s="22"/>
      <c r="E122" s="184"/>
    </row>
    <row r="123" spans="1:5" ht="19.5" hidden="1" thickBot="1" x14ac:dyDescent="0.3">
      <c r="A123" s="10">
        <v>35</v>
      </c>
      <c r="B123" s="10" t="s">
        <v>178</v>
      </c>
      <c r="C123" s="22"/>
      <c r="D123" s="22"/>
      <c r="E123" s="184"/>
    </row>
    <row r="124" spans="1:5" ht="19.5" hidden="1" thickBot="1" x14ac:dyDescent="0.3">
      <c r="A124" s="10">
        <v>36</v>
      </c>
      <c r="B124" s="10" t="s">
        <v>180</v>
      </c>
      <c r="C124" s="22">
        <f>34*12</f>
        <v>408</v>
      </c>
      <c r="D124" s="22"/>
      <c r="E124" s="184"/>
    </row>
    <row r="125" spans="1:5" ht="19.5" hidden="1" thickBot="1" x14ac:dyDescent="0.3">
      <c r="A125" s="10">
        <v>37</v>
      </c>
      <c r="B125" s="10" t="s">
        <v>362</v>
      </c>
      <c r="C125" s="22"/>
      <c r="D125" s="22"/>
      <c r="E125" s="184"/>
    </row>
    <row r="126" spans="1:5" ht="19.5" hidden="1" thickBot="1" x14ac:dyDescent="0.3">
      <c r="A126" s="10">
        <v>38</v>
      </c>
      <c r="B126" s="10" t="s">
        <v>182</v>
      </c>
      <c r="C126" s="22"/>
      <c r="D126" s="22"/>
      <c r="E126" s="184"/>
    </row>
    <row r="127" spans="1:5" ht="19.5" hidden="1" thickBot="1" x14ac:dyDescent="0.3">
      <c r="A127" s="10">
        <v>39</v>
      </c>
      <c r="B127" s="10" t="s">
        <v>442</v>
      </c>
      <c r="C127" s="22"/>
      <c r="D127" s="22"/>
      <c r="E127" s="184"/>
    </row>
    <row r="128" spans="1:5" ht="19.5" hidden="1" thickBot="1" x14ac:dyDescent="0.3">
      <c r="A128" s="10">
        <v>40</v>
      </c>
      <c r="B128" s="14" t="s">
        <v>185</v>
      </c>
      <c r="C128" s="22">
        <v>456</v>
      </c>
      <c r="D128" s="22"/>
      <c r="E128" s="184"/>
    </row>
    <row r="129" spans="1:5" ht="19.5" hidden="1" thickBot="1" x14ac:dyDescent="0.3">
      <c r="A129" s="10">
        <v>41</v>
      </c>
      <c r="B129" s="10" t="s">
        <v>187</v>
      </c>
      <c r="C129" s="22">
        <v>700</v>
      </c>
      <c r="D129" s="22"/>
      <c r="E129" s="184"/>
    </row>
    <row r="130" spans="1:5" ht="19.5" hidden="1" thickBot="1" x14ac:dyDescent="0.3">
      <c r="A130" s="10">
        <v>42</v>
      </c>
      <c r="B130" s="10" t="s">
        <v>190</v>
      </c>
      <c r="C130" s="22"/>
      <c r="D130" s="22"/>
      <c r="E130" s="184"/>
    </row>
    <row r="131" spans="1:5" ht="19.5" hidden="1" thickBot="1" x14ac:dyDescent="0.3">
      <c r="A131" s="10">
        <v>43</v>
      </c>
      <c r="B131" s="14" t="s">
        <v>192</v>
      </c>
      <c r="C131" s="22"/>
      <c r="D131" s="22"/>
      <c r="E131" s="184"/>
    </row>
    <row r="132" spans="1:5" ht="19.5" hidden="1" thickBot="1" x14ac:dyDescent="0.3">
      <c r="A132" s="10">
        <v>44</v>
      </c>
      <c r="B132" s="14" t="s">
        <v>196</v>
      </c>
      <c r="C132" s="22"/>
      <c r="D132" s="22"/>
      <c r="E132" s="184"/>
    </row>
    <row r="133" spans="1:5" ht="19.5" hidden="1" thickBot="1" x14ac:dyDescent="0.3">
      <c r="A133" s="10">
        <v>45</v>
      </c>
      <c r="B133" s="10" t="s">
        <v>199</v>
      </c>
      <c r="C133" s="22"/>
      <c r="D133" s="22"/>
      <c r="E133" s="184"/>
    </row>
    <row r="134" spans="1:5" ht="19.5" hidden="1" thickBot="1" x14ac:dyDescent="0.3">
      <c r="A134" s="10">
        <v>46</v>
      </c>
      <c r="B134" s="10" t="s">
        <v>201</v>
      </c>
      <c r="C134" s="22"/>
      <c r="D134" s="22"/>
      <c r="E134" s="184"/>
    </row>
    <row r="135" spans="1:5" ht="19.5" hidden="1" thickBot="1" x14ac:dyDescent="0.3">
      <c r="A135" s="10">
        <v>47</v>
      </c>
      <c r="B135" s="10" t="s">
        <v>203</v>
      </c>
      <c r="C135" s="22"/>
      <c r="D135" s="22"/>
      <c r="E135" s="184"/>
    </row>
    <row r="136" spans="1:5" ht="19.5" hidden="1" thickBot="1" x14ac:dyDescent="0.3">
      <c r="A136" s="10">
        <v>48</v>
      </c>
      <c r="B136" s="10" t="s">
        <v>206</v>
      </c>
      <c r="C136" s="22"/>
      <c r="D136" s="22"/>
      <c r="E136" s="184"/>
    </row>
    <row r="137" spans="1:5" ht="19.5" hidden="1" thickBot="1" x14ac:dyDescent="0.3">
      <c r="A137" s="10">
        <v>49</v>
      </c>
      <c r="B137" s="10" t="s">
        <v>207</v>
      </c>
      <c r="C137" s="22"/>
      <c r="D137" s="22"/>
      <c r="E137" s="184"/>
    </row>
    <row r="138" spans="1:5" ht="19.5" hidden="1" thickBot="1" x14ac:dyDescent="0.3">
      <c r="A138" s="10">
        <v>50</v>
      </c>
      <c r="B138" s="10" t="s">
        <v>368</v>
      </c>
      <c r="C138" s="22"/>
      <c r="D138" s="22"/>
      <c r="E138" s="184"/>
    </row>
    <row r="139" spans="1:5" ht="19.5" hidden="1" thickBot="1" x14ac:dyDescent="0.3">
      <c r="A139" s="10">
        <v>51</v>
      </c>
      <c r="B139" s="10" t="s">
        <v>209</v>
      </c>
      <c r="C139" s="22"/>
      <c r="D139" s="22"/>
      <c r="E139" s="184"/>
    </row>
    <row r="140" spans="1:5" ht="19.5" hidden="1" thickBot="1" x14ac:dyDescent="0.3">
      <c r="A140" s="10">
        <v>52</v>
      </c>
      <c r="B140" s="10" t="s">
        <v>213</v>
      </c>
      <c r="C140" s="22"/>
      <c r="D140" s="22"/>
      <c r="E140" s="184"/>
    </row>
    <row r="141" spans="1:5" ht="19.5" hidden="1" thickBot="1" x14ac:dyDescent="0.3">
      <c r="A141" s="10">
        <v>53</v>
      </c>
      <c r="B141" s="15" t="s">
        <v>215</v>
      </c>
      <c r="C141" s="22"/>
      <c r="D141" s="22"/>
      <c r="E141" s="184"/>
    </row>
    <row r="142" spans="1:5" ht="19.5" hidden="1" thickBot="1" x14ac:dyDescent="0.3">
      <c r="A142" s="10">
        <v>54</v>
      </c>
      <c r="B142" s="15" t="s">
        <v>443</v>
      </c>
      <c r="C142" s="22">
        <f>19*12</f>
        <v>228</v>
      </c>
      <c r="D142" s="22"/>
      <c r="E142" s="184"/>
    </row>
    <row r="143" spans="1:5" ht="19.5" hidden="1" thickBot="1" x14ac:dyDescent="0.3">
      <c r="A143" s="10">
        <v>55</v>
      </c>
      <c r="B143" s="10" t="s">
        <v>444</v>
      </c>
      <c r="C143" s="22"/>
      <c r="D143" s="22"/>
      <c r="E143" s="184"/>
    </row>
    <row r="144" spans="1:5" ht="19.5" hidden="1" thickBot="1" x14ac:dyDescent="0.3">
      <c r="A144" s="10">
        <v>56</v>
      </c>
      <c r="B144" s="15" t="s">
        <v>445</v>
      </c>
      <c r="C144" s="22">
        <f>23*12+516</f>
        <v>792</v>
      </c>
      <c r="D144" s="22"/>
      <c r="E144" s="184"/>
    </row>
    <row r="145" spans="1:5" ht="19.5" hidden="1" thickBot="1" x14ac:dyDescent="0.3">
      <c r="A145" s="10">
        <v>57</v>
      </c>
      <c r="B145" s="10" t="s">
        <v>446</v>
      </c>
      <c r="C145" s="22"/>
      <c r="D145" s="22"/>
      <c r="E145" s="184"/>
    </row>
    <row r="146" spans="1:5" ht="19.5" hidden="1" thickBot="1" x14ac:dyDescent="0.3">
      <c r="A146" s="10">
        <v>58</v>
      </c>
      <c r="B146" s="10" t="s">
        <v>231</v>
      </c>
      <c r="C146" s="22"/>
      <c r="D146" s="22"/>
      <c r="E146" s="184"/>
    </row>
    <row r="147" spans="1:5" ht="19.5" hidden="1" thickBot="1" x14ac:dyDescent="0.3">
      <c r="A147" s="10">
        <v>59</v>
      </c>
      <c r="B147" s="10" t="s">
        <v>233</v>
      </c>
      <c r="C147" s="22"/>
      <c r="D147" s="22"/>
      <c r="E147" s="184"/>
    </row>
    <row r="148" spans="1:5" ht="19.5" hidden="1" thickBot="1" x14ac:dyDescent="0.3">
      <c r="A148" s="10">
        <v>60</v>
      </c>
      <c r="B148" s="10" t="s">
        <v>235</v>
      </c>
      <c r="C148" s="22">
        <f>33*12</f>
        <v>396</v>
      </c>
      <c r="D148" s="22"/>
      <c r="E148" s="184"/>
    </row>
    <row r="149" spans="1:5" ht="19.5" hidden="1" thickBot="1" x14ac:dyDescent="0.3">
      <c r="A149" s="10">
        <v>61</v>
      </c>
      <c r="B149" s="10" t="s">
        <v>237</v>
      </c>
      <c r="C149" s="22"/>
      <c r="D149" s="22"/>
      <c r="E149" s="184"/>
    </row>
    <row r="150" spans="1:5" ht="19.5" hidden="1" thickBot="1" x14ac:dyDescent="0.3">
      <c r="A150" s="10">
        <v>62</v>
      </c>
      <c r="B150" s="10" t="s">
        <v>239</v>
      </c>
      <c r="C150" s="22"/>
      <c r="D150" s="22"/>
      <c r="E150" s="184"/>
    </row>
    <row r="151" spans="1:5" ht="19.5" hidden="1" thickBot="1" x14ac:dyDescent="0.3">
      <c r="A151" s="10">
        <v>63</v>
      </c>
      <c r="B151" s="10" t="s">
        <v>243</v>
      </c>
      <c r="C151" s="22"/>
      <c r="D151" s="22"/>
      <c r="E151" s="184"/>
    </row>
    <row r="152" spans="1:5" ht="19.5" hidden="1" thickBot="1" x14ac:dyDescent="0.3">
      <c r="A152" s="10">
        <v>64</v>
      </c>
      <c r="B152" s="10" t="s">
        <v>447</v>
      </c>
      <c r="C152" s="22"/>
      <c r="D152" s="22"/>
      <c r="E152" s="184"/>
    </row>
    <row r="153" spans="1:5" ht="19.5" hidden="1" thickBot="1" x14ac:dyDescent="0.3">
      <c r="A153" s="10">
        <v>65</v>
      </c>
      <c r="B153" s="10" t="s">
        <v>375</v>
      </c>
      <c r="C153" s="22"/>
      <c r="D153" s="22"/>
      <c r="E153" s="184"/>
    </row>
    <row r="154" spans="1:5" ht="19.5" hidden="1" thickBot="1" x14ac:dyDescent="0.3">
      <c r="A154" s="10">
        <v>66</v>
      </c>
      <c r="B154" s="10" t="s">
        <v>378</v>
      </c>
      <c r="C154" s="22"/>
      <c r="D154" s="22"/>
      <c r="E154" s="184"/>
    </row>
    <row r="155" spans="1:5" ht="19.5" hidden="1" thickBot="1" x14ac:dyDescent="0.3">
      <c r="A155" s="10">
        <v>67</v>
      </c>
      <c r="B155" s="10" t="s">
        <v>251</v>
      </c>
      <c r="C155" s="22"/>
      <c r="D155" s="22"/>
      <c r="E155" s="184"/>
    </row>
    <row r="156" spans="1:5" ht="19.5" hidden="1" thickBot="1" x14ac:dyDescent="0.3">
      <c r="A156" s="10">
        <v>68</v>
      </c>
      <c r="B156" s="10" t="s">
        <v>253</v>
      </c>
      <c r="C156" s="22"/>
      <c r="D156" s="22"/>
      <c r="E156" s="184"/>
    </row>
    <row r="157" spans="1:5" ht="19.5" hidden="1" thickBot="1" x14ac:dyDescent="0.3">
      <c r="A157" s="10">
        <v>69</v>
      </c>
      <c r="B157" s="10" t="s">
        <v>255</v>
      </c>
      <c r="C157" s="22"/>
      <c r="D157" s="22"/>
      <c r="E157" s="184"/>
    </row>
    <row r="158" spans="1:5" ht="19.5" hidden="1" thickBot="1" x14ac:dyDescent="0.3">
      <c r="A158" s="10">
        <v>70</v>
      </c>
      <c r="B158" s="10" t="s">
        <v>260</v>
      </c>
      <c r="C158" s="22">
        <v>1692</v>
      </c>
      <c r="D158" s="22"/>
      <c r="E158" s="184"/>
    </row>
    <row r="159" spans="1:5" ht="19.5" hidden="1" thickBot="1" x14ac:dyDescent="0.3">
      <c r="A159" s="10">
        <v>71</v>
      </c>
      <c r="B159" s="10" t="s">
        <v>448</v>
      </c>
      <c r="C159" s="22"/>
      <c r="D159" s="22"/>
      <c r="E159" s="184"/>
    </row>
    <row r="160" spans="1:5" ht="19.5" hidden="1" thickBot="1" x14ac:dyDescent="0.3">
      <c r="A160" s="10">
        <v>72</v>
      </c>
      <c r="B160" s="10" t="s">
        <v>264</v>
      </c>
      <c r="C160" s="22"/>
      <c r="D160" s="22"/>
      <c r="E160" s="184"/>
    </row>
    <row r="161" spans="1:5" ht="19.5" hidden="1" thickBot="1" x14ac:dyDescent="0.3">
      <c r="A161" s="10">
        <v>73</v>
      </c>
      <c r="B161" s="10" t="s">
        <v>267</v>
      </c>
      <c r="C161" s="22"/>
      <c r="D161" s="22"/>
      <c r="E161" s="184"/>
    </row>
    <row r="162" spans="1:5" ht="19.5" hidden="1" thickBot="1" x14ac:dyDescent="0.3">
      <c r="A162" s="10">
        <v>74</v>
      </c>
      <c r="B162" s="10" t="s">
        <v>449</v>
      </c>
      <c r="C162" s="22">
        <v>800</v>
      </c>
      <c r="D162" s="22"/>
      <c r="E162" s="184"/>
    </row>
    <row r="163" spans="1:5" ht="19.5" hidden="1" thickBot="1" x14ac:dyDescent="0.3">
      <c r="A163" s="10">
        <v>75</v>
      </c>
      <c r="B163" s="10" t="s">
        <v>271</v>
      </c>
      <c r="C163" s="22"/>
      <c r="D163" s="22"/>
      <c r="E163" s="184"/>
    </row>
    <row r="164" spans="1:5" ht="19.5" hidden="1" thickBot="1" x14ac:dyDescent="0.3">
      <c r="A164" s="10">
        <v>76</v>
      </c>
      <c r="B164" s="10" t="s">
        <v>276</v>
      </c>
      <c r="C164" s="22"/>
      <c r="D164" s="22"/>
      <c r="E164" s="184"/>
    </row>
    <row r="165" spans="1:5" ht="19.5" hidden="1" thickBot="1" x14ac:dyDescent="0.3">
      <c r="A165" s="10">
        <v>77</v>
      </c>
      <c r="B165" s="10" t="s">
        <v>385</v>
      </c>
      <c r="C165" s="22"/>
      <c r="D165" s="22"/>
      <c r="E165" s="184"/>
    </row>
    <row r="166" spans="1:5" ht="19.5" hidden="1" thickBot="1" x14ac:dyDescent="0.3">
      <c r="A166" s="10">
        <v>78</v>
      </c>
      <c r="B166" s="10" t="s">
        <v>384</v>
      </c>
      <c r="C166" s="22"/>
      <c r="D166" s="22"/>
      <c r="E166" s="184"/>
    </row>
    <row r="167" spans="1:5" ht="19.5" hidden="1" thickBot="1" x14ac:dyDescent="0.3">
      <c r="A167" s="10">
        <v>79</v>
      </c>
      <c r="B167" s="10" t="s">
        <v>286</v>
      </c>
      <c r="C167" s="22"/>
      <c r="D167" s="22"/>
      <c r="E167" s="184"/>
    </row>
    <row r="168" spans="1:5" ht="19.5" hidden="1" thickBot="1" x14ac:dyDescent="0.3">
      <c r="A168" s="10">
        <v>80</v>
      </c>
      <c r="B168" s="10" t="s">
        <v>284</v>
      </c>
      <c r="C168" s="22"/>
      <c r="D168" s="22"/>
      <c r="E168" s="184"/>
    </row>
    <row r="169" spans="1:5" ht="19.5" hidden="1" thickBot="1" x14ac:dyDescent="0.3">
      <c r="A169" s="10">
        <v>81</v>
      </c>
      <c r="B169" s="10" t="s">
        <v>289</v>
      </c>
      <c r="C169" s="22"/>
      <c r="D169" s="22"/>
      <c r="E169" s="184"/>
    </row>
    <row r="170" spans="1:5" ht="19.5" hidden="1" thickBot="1" x14ac:dyDescent="0.3">
      <c r="A170" s="10">
        <v>82</v>
      </c>
      <c r="B170" s="10" t="s">
        <v>291</v>
      </c>
      <c r="C170" s="22">
        <v>384</v>
      </c>
      <c r="D170" s="22"/>
      <c r="E170" s="184"/>
    </row>
    <row r="171" spans="1:5" ht="19.5" hidden="1" thickBot="1" x14ac:dyDescent="0.3">
      <c r="A171" s="10">
        <v>83</v>
      </c>
      <c r="B171" s="10" t="s">
        <v>293</v>
      </c>
      <c r="C171" s="22"/>
      <c r="D171" s="22"/>
      <c r="E171" s="184"/>
    </row>
    <row r="172" spans="1:5" ht="19.5" hidden="1" thickBot="1" x14ac:dyDescent="0.3">
      <c r="A172" s="10">
        <v>84</v>
      </c>
      <c r="B172" s="10" t="s">
        <v>450</v>
      </c>
      <c r="C172" s="22"/>
      <c r="D172" s="22"/>
      <c r="E172" s="184"/>
    </row>
    <row r="173" spans="1:5" ht="19.5" hidden="1" thickBot="1" x14ac:dyDescent="0.3">
      <c r="A173" s="10">
        <v>85</v>
      </c>
      <c r="B173" s="10" t="s">
        <v>451</v>
      </c>
      <c r="C173" s="22"/>
      <c r="D173" s="22"/>
      <c r="E173" s="184"/>
    </row>
    <row r="174" spans="1:5" ht="19.5" hidden="1" thickBot="1" x14ac:dyDescent="0.3">
      <c r="A174" s="10">
        <v>86</v>
      </c>
      <c r="B174" s="10" t="s">
        <v>452</v>
      </c>
      <c r="C174" s="22"/>
      <c r="D174" s="22"/>
      <c r="E174" s="184"/>
    </row>
    <row r="175" spans="1:5" ht="19.5" hidden="1" thickBot="1" x14ac:dyDescent="0.3">
      <c r="A175" s="10">
        <v>87</v>
      </c>
      <c r="B175" s="10" t="s">
        <v>453</v>
      </c>
      <c r="C175" s="22"/>
      <c r="D175" s="22"/>
      <c r="E175" s="184"/>
    </row>
    <row r="176" spans="1:5" ht="19.5" hidden="1" thickBot="1" x14ac:dyDescent="0.3">
      <c r="A176" s="10">
        <v>88</v>
      </c>
      <c r="B176" s="10" t="s">
        <v>303</v>
      </c>
      <c r="C176" s="22"/>
      <c r="D176" s="22"/>
      <c r="E176" s="184"/>
    </row>
    <row r="177" spans="1:5" ht="19.5" hidden="1" thickBot="1" x14ac:dyDescent="0.3">
      <c r="A177" s="10">
        <v>89</v>
      </c>
      <c r="B177" s="10" t="s">
        <v>306</v>
      </c>
      <c r="C177" s="22"/>
      <c r="D177" s="22"/>
      <c r="E177" s="184"/>
    </row>
    <row r="178" spans="1:5" ht="19.5" hidden="1" thickBot="1" x14ac:dyDescent="0.3">
      <c r="A178" s="10">
        <v>90</v>
      </c>
      <c r="B178" s="10" t="s">
        <v>309</v>
      </c>
      <c r="C178" s="22">
        <v>252</v>
      </c>
      <c r="D178" s="22"/>
      <c r="E178" s="184"/>
    </row>
    <row r="179" spans="1:5" ht="19.5" hidden="1" thickBot="1" x14ac:dyDescent="0.3">
      <c r="A179" s="10">
        <v>91</v>
      </c>
      <c r="B179" s="10" t="s">
        <v>454</v>
      </c>
      <c r="C179" s="22">
        <v>516</v>
      </c>
      <c r="D179" s="22"/>
      <c r="E179" s="184"/>
    </row>
    <row r="180" spans="1:5" ht="19.5" hidden="1" thickBot="1" x14ac:dyDescent="0.3">
      <c r="A180" s="10">
        <v>92</v>
      </c>
      <c r="B180" s="10" t="s">
        <v>318</v>
      </c>
      <c r="C180" s="22"/>
      <c r="D180" s="22"/>
      <c r="E180" s="184"/>
    </row>
    <row r="181" spans="1:5" ht="19.5" hidden="1" thickBot="1" x14ac:dyDescent="0.3">
      <c r="A181" s="10">
        <v>93</v>
      </c>
      <c r="B181" s="14" t="s">
        <v>320</v>
      </c>
      <c r="C181" s="22">
        <f>41*12</f>
        <v>492</v>
      </c>
      <c r="D181" s="22"/>
      <c r="E181" s="184"/>
    </row>
    <row r="182" spans="1:5" ht="19.5" hidden="1" thickBot="1" x14ac:dyDescent="0.3">
      <c r="A182" s="10">
        <v>94</v>
      </c>
      <c r="B182" s="10" t="s">
        <v>323</v>
      </c>
      <c r="C182" s="22"/>
      <c r="D182" s="22"/>
      <c r="E182" s="184"/>
    </row>
    <row r="183" spans="1:5" ht="19.5" hidden="1" thickBot="1" x14ac:dyDescent="0.3">
      <c r="A183" s="10">
        <v>95</v>
      </c>
      <c r="B183" s="10" t="s">
        <v>455</v>
      </c>
      <c r="C183" s="22"/>
      <c r="D183" s="22"/>
      <c r="E183" s="184"/>
    </row>
    <row r="184" spans="1:5" ht="19.5" hidden="1" thickBot="1" x14ac:dyDescent="0.3">
      <c r="A184" s="10">
        <v>96</v>
      </c>
      <c r="B184" s="10" t="s">
        <v>327</v>
      </c>
      <c r="C184" s="22"/>
      <c r="D184" s="22"/>
      <c r="E184" s="184"/>
    </row>
    <row r="185" spans="1:5" ht="19.5" hidden="1" thickBot="1" x14ac:dyDescent="0.3">
      <c r="A185" s="10">
        <v>97</v>
      </c>
      <c r="B185" s="10" t="s">
        <v>329</v>
      </c>
      <c r="C185" s="22"/>
      <c r="D185" s="22"/>
      <c r="E185" s="184"/>
    </row>
    <row r="186" spans="1:5" ht="19.5" hidden="1" thickBot="1" x14ac:dyDescent="0.3">
      <c r="A186" s="10">
        <v>98</v>
      </c>
      <c r="B186" s="10" t="s">
        <v>456</v>
      </c>
      <c r="C186" s="22"/>
      <c r="D186" s="22"/>
      <c r="E186" s="184"/>
    </row>
    <row r="187" spans="1:5" ht="19.5" hidden="1" thickBot="1" x14ac:dyDescent="0.3">
      <c r="A187" s="10">
        <v>99</v>
      </c>
      <c r="B187" s="10" t="s">
        <v>333</v>
      </c>
      <c r="C187" s="22"/>
      <c r="D187" s="22"/>
      <c r="E187" s="184"/>
    </row>
    <row r="188" spans="1:5" ht="19.5" hidden="1" thickBot="1" x14ac:dyDescent="0.3">
      <c r="A188" s="10">
        <v>100</v>
      </c>
      <c r="B188" s="10" t="s">
        <v>403</v>
      </c>
      <c r="C188" s="22"/>
      <c r="D188" s="22"/>
      <c r="E188" s="184"/>
    </row>
    <row r="189" spans="1:5" ht="19.5" hidden="1" thickBot="1" x14ac:dyDescent="0.3">
      <c r="A189" s="10">
        <v>101</v>
      </c>
      <c r="B189" s="10" t="s">
        <v>339</v>
      </c>
      <c r="C189" s="22"/>
      <c r="D189" s="22"/>
      <c r="E189" s="184"/>
    </row>
    <row r="190" spans="1:5" ht="19.5" hidden="1" thickBot="1" x14ac:dyDescent="0.3">
      <c r="A190" s="10">
        <v>102</v>
      </c>
      <c r="B190" s="10" t="s">
        <v>335</v>
      </c>
      <c r="C190" s="22"/>
      <c r="D190" s="22"/>
      <c r="E190" s="184"/>
    </row>
    <row r="191" spans="1:5" ht="19.5" hidden="1" thickBot="1" x14ac:dyDescent="0.3">
      <c r="A191" s="10">
        <v>103</v>
      </c>
      <c r="B191" s="10" t="s">
        <v>336</v>
      </c>
      <c r="C191" s="22"/>
      <c r="D191" s="22"/>
      <c r="E191" s="184"/>
    </row>
    <row r="192" spans="1:5" ht="19.5" hidden="1" thickBot="1" x14ac:dyDescent="0.3">
      <c r="A192" s="28"/>
      <c r="B192" s="28" t="s">
        <v>457</v>
      </c>
      <c r="C192" s="18">
        <f>SUM(C89:C191)</f>
        <v>19908</v>
      </c>
      <c r="D192" s="18">
        <f>SUM(D89:D191)</f>
        <v>228</v>
      </c>
    </row>
    <row r="193" spans="1:5" ht="36.75" hidden="1" thickBot="1" x14ac:dyDescent="0.3">
      <c r="A193" s="28"/>
      <c r="B193" s="30" t="s">
        <v>458</v>
      </c>
      <c r="C193" s="266"/>
      <c r="D193" s="266"/>
    </row>
    <row r="194" spans="1:5" ht="36.75" hidden="1" thickBot="1" x14ac:dyDescent="0.3">
      <c r="A194" s="28"/>
      <c r="B194" s="30" t="s">
        <v>431</v>
      </c>
      <c r="C194" s="267"/>
      <c r="D194" s="268"/>
      <c r="E194" s="188"/>
    </row>
    <row r="195" spans="1:5" ht="36.75" hidden="1" thickBot="1" x14ac:dyDescent="0.3">
      <c r="A195" s="28"/>
      <c r="B195" s="30" t="s">
        <v>459</v>
      </c>
      <c r="C195" s="269"/>
      <c r="D195" s="270"/>
    </row>
    <row r="196" spans="1:5" ht="19.5" hidden="1" thickBot="1" x14ac:dyDescent="0.3">
      <c r="A196" s="34"/>
      <c r="B196" s="35"/>
      <c r="C196" s="32"/>
      <c r="D196" s="32"/>
      <c r="E196" s="32"/>
    </row>
    <row r="197" spans="1:5" ht="19.5" hidden="1" thickBot="1" x14ac:dyDescent="0.3">
      <c r="A197" s="36">
        <v>43132</v>
      </c>
      <c r="B197" s="20" t="s">
        <v>82</v>
      </c>
      <c r="C197" s="20" t="s">
        <v>342</v>
      </c>
      <c r="D197" s="20" t="s">
        <v>343</v>
      </c>
      <c r="E197" s="183"/>
    </row>
    <row r="198" spans="1:5" ht="19.5" hidden="1" thickBot="1" x14ac:dyDescent="0.3">
      <c r="A198" s="10">
        <v>1</v>
      </c>
      <c r="B198" s="11" t="s">
        <v>93</v>
      </c>
      <c r="C198" s="22"/>
      <c r="D198" s="25"/>
      <c r="E198" s="185"/>
    </row>
    <row r="199" spans="1:5" ht="19.5" hidden="1" thickBot="1" x14ac:dyDescent="0.3">
      <c r="A199" s="10">
        <v>2</v>
      </c>
      <c r="B199" s="10" t="s">
        <v>347</v>
      </c>
      <c r="C199" s="22"/>
      <c r="D199" s="25"/>
      <c r="E199" s="185"/>
    </row>
    <row r="200" spans="1:5" ht="19.5" hidden="1" thickBot="1" x14ac:dyDescent="0.3">
      <c r="A200" s="10">
        <v>3</v>
      </c>
      <c r="B200" s="10" t="s">
        <v>97</v>
      </c>
      <c r="C200" s="22"/>
      <c r="D200" s="25"/>
      <c r="E200" s="185"/>
    </row>
    <row r="201" spans="1:5" ht="19.5" hidden="1" thickBot="1" x14ac:dyDescent="0.3">
      <c r="A201" s="10">
        <v>4</v>
      </c>
      <c r="B201" s="10" t="s">
        <v>99</v>
      </c>
      <c r="C201" s="22">
        <f>205*12</f>
        <v>2460</v>
      </c>
      <c r="D201" s="31"/>
      <c r="E201" s="31"/>
    </row>
    <row r="202" spans="1:5" ht="19.5" hidden="1" thickBot="1" x14ac:dyDescent="0.3">
      <c r="A202" s="10">
        <v>5</v>
      </c>
      <c r="B202" s="10" t="s">
        <v>101</v>
      </c>
      <c r="C202" s="22">
        <f>864+12*35</f>
        <v>1284</v>
      </c>
      <c r="D202" s="22"/>
      <c r="E202" s="184"/>
    </row>
    <row r="203" spans="1:5" ht="19.5" hidden="1" thickBot="1" x14ac:dyDescent="0.3">
      <c r="A203" s="10">
        <v>6</v>
      </c>
      <c r="B203" s="10" t="s">
        <v>348</v>
      </c>
      <c r="C203" s="22">
        <v>300</v>
      </c>
      <c r="D203" s="22"/>
      <c r="E203" s="184"/>
    </row>
    <row r="204" spans="1:5" ht="19.5" hidden="1" thickBot="1" x14ac:dyDescent="0.3">
      <c r="A204" s="10">
        <v>7</v>
      </c>
      <c r="B204" s="10" t="s">
        <v>106</v>
      </c>
      <c r="C204" s="22"/>
      <c r="D204" s="22"/>
      <c r="E204" s="184"/>
    </row>
    <row r="205" spans="1:5" ht="19.5" hidden="1" thickBot="1" x14ac:dyDescent="0.3">
      <c r="A205" s="10">
        <v>8</v>
      </c>
      <c r="B205" s="13" t="s">
        <v>108</v>
      </c>
      <c r="C205" s="22">
        <f>12*12+12*32+12*68+12*44+12*7</f>
        <v>1956</v>
      </c>
      <c r="D205" s="22"/>
      <c r="E205" s="184"/>
    </row>
    <row r="206" spans="1:5" ht="19.5" hidden="1" thickBot="1" x14ac:dyDescent="0.3">
      <c r="A206" s="10">
        <v>9</v>
      </c>
      <c r="B206" s="10" t="s">
        <v>110</v>
      </c>
      <c r="C206" s="22"/>
      <c r="D206" s="22"/>
      <c r="E206" s="184"/>
    </row>
    <row r="207" spans="1:5" ht="19.5" hidden="1" thickBot="1" x14ac:dyDescent="0.3">
      <c r="A207" s="10">
        <v>10</v>
      </c>
      <c r="B207" s="10" t="s">
        <v>351</v>
      </c>
      <c r="C207" s="22"/>
      <c r="D207" s="22"/>
      <c r="E207" s="184"/>
    </row>
    <row r="208" spans="1:5" ht="19.5" hidden="1" thickBot="1" x14ac:dyDescent="0.3">
      <c r="A208" s="10">
        <v>11</v>
      </c>
      <c r="B208" s="10" t="s">
        <v>112</v>
      </c>
      <c r="C208" s="22">
        <f>264+12*22</f>
        <v>528</v>
      </c>
      <c r="D208" s="22"/>
      <c r="E208" s="184"/>
    </row>
    <row r="209" spans="1:5" ht="19.5" hidden="1" thickBot="1" x14ac:dyDescent="0.3">
      <c r="A209" s="10">
        <v>12</v>
      </c>
      <c r="B209" s="10" t="s">
        <v>352</v>
      </c>
      <c r="C209" s="22"/>
      <c r="D209" s="22"/>
      <c r="E209" s="184"/>
    </row>
    <row r="210" spans="1:5" ht="19.5" hidden="1" thickBot="1" x14ac:dyDescent="0.3">
      <c r="A210" s="10">
        <v>13</v>
      </c>
      <c r="B210" s="10" t="s">
        <v>440</v>
      </c>
      <c r="C210" s="22"/>
      <c r="D210" s="22"/>
      <c r="E210" s="184"/>
    </row>
    <row r="211" spans="1:5" ht="19.5" hidden="1" thickBot="1" x14ac:dyDescent="0.3">
      <c r="A211" s="10">
        <v>14</v>
      </c>
      <c r="B211" s="10" t="s">
        <v>121</v>
      </c>
      <c r="C211" s="22"/>
      <c r="D211" s="22"/>
      <c r="E211" s="184"/>
    </row>
    <row r="212" spans="1:5" ht="19.5" hidden="1" thickBot="1" x14ac:dyDescent="0.3">
      <c r="A212" s="10">
        <v>15</v>
      </c>
      <c r="B212" s="14" t="s">
        <v>124</v>
      </c>
      <c r="C212" s="22">
        <f>12*17</f>
        <v>204</v>
      </c>
      <c r="D212" s="22"/>
      <c r="E212" s="184"/>
    </row>
    <row r="213" spans="1:5" ht="19.5" hidden="1" thickBot="1" x14ac:dyDescent="0.3">
      <c r="A213" s="10">
        <v>16</v>
      </c>
      <c r="B213" s="10" t="s">
        <v>126</v>
      </c>
      <c r="C213" s="22">
        <f>12*23</f>
        <v>276</v>
      </c>
      <c r="D213" s="22"/>
      <c r="E213" s="184"/>
    </row>
    <row r="214" spans="1:5" ht="19.5" hidden="1" thickBot="1" x14ac:dyDescent="0.3">
      <c r="A214" s="10">
        <v>17</v>
      </c>
      <c r="B214" s="10" t="s">
        <v>128</v>
      </c>
      <c r="C214" s="22">
        <f>2196+12*50</f>
        <v>2796</v>
      </c>
      <c r="D214" s="22"/>
      <c r="E214" s="184"/>
    </row>
    <row r="215" spans="1:5" ht="19.5" hidden="1" thickBot="1" x14ac:dyDescent="0.3">
      <c r="A215" s="10">
        <v>18</v>
      </c>
      <c r="B215" s="10" t="s">
        <v>131</v>
      </c>
      <c r="C215" s="22"/>
      <c r="D215" s="22"/>
      <c r="E215" s="184"/>
    </row>
    <row r="216" spans="1:5" ht="19.5" hidden="1" thickBot="1" x14ac:dyDescent="0.3">
      <c r="A216" s="10">
        <v>19</v>
      </c>
      <c r="B216" s="10" t="s">
        <v>133</v>
      </c>
      <c r="C216" s="22">
        <f>1260+12*18</f>
        <v>1476</v>
      </c>
      <c r="D216" s="22"/>
      <c r="E216" s="184"/>
    </row>
    <row r="217" spans="1:5" ht="19.5" hidden="1" thickBot="1" x14ac:dyDescent="0.3">
      <c r="A217" s="10">
        <v>20</v>
      </c>
      <c r="B217" s="10" t="s">
        <v>135</v>
      </c>
      <c r="C217" s="22"/>
      <c r="D217" s="22"/>
      <c r="E217" s="184"/>
    </row>
    <row r="218" spans="1:5" ht="19.5" hidden="1" thickBot="1" x14ac:dyDescent="0.3">
      <c r="A218" s="10">
        <v>21</v>
      </c>
      <c r="B218" s="10" t="s">
        <v>138</v>
      </c>
      <c r="C218" s="22">
        <f>12*12</f>
        <v>144</v>
      </c>
      <c r="D218" s="22"/>
      <c r="E218" s="184"/>
    </row>
    <row r="219" spans="1:5" ht="19.5" hidden="1" thickBot="1" x14ac:dyDescent="0.3">
      <c r="A219" s="10">
        <v>22</v>
      </c>
      <c r="B219" s="10" t="s">
        <v>139</v>
      </c>
      <c r="C219" s="22"/>
      <c r="D219" s="22"/>
      <c r="E219" s="184"/>
    </row>
    <row r="220" spans="1:5" ht="19.5" hidden="1" thickBot="1" x14ac:dyDescent="0.3">
      <c r="A220" s="10">
        <v>23</v>
      </c>
      <c r="B220" s="10" t="s">
        <v>147</v>
      </c>
      <c r="C220" s="22">
        <f>12*37</f>
        <v>444</v>
      </c>
      <c r="D220" s="22"/>
      <c r="E220" s="184"/>
    </row>
    <row r="221" spans="1:5" ht="19.5" hidden="1" thickBot="1" x14ac:dyDescent="0.3">
      <c r="A221" s="10">
        <v>24</v>
      </c>
      <c r="B221" s="10" t="s">
        <v>143</v>
      </c>
      <c r="C221" s="22">
        <f>80*12</f>
        <v>960</v>
      </c>
      <c r="D221" s="22"/>
      <c r="E221" s="184"/>
    </row>
    <row r="222" spans="1:5" ht="19.5" hidden="1" thickBot="1" x14ac:dyDescent="0.3">
      <c r="A222" s="10">
        <v>25</v>
      </c>
      <c r="B222" s="10" t="s">
        <v>441</v>
      </c>
      <c r="C222" s="22">
        <f>408+62*12</f>
        <v>1152</v>
      </c>
      <c r="D222" s="22"/>
      <c r="E222" s="184"/>
    </row>
    <row r="223" spans="1:5" ht="19.5" hidden="1" thickBot="1" x14ac:dyDescent="0.3">
      <c r="A223" s="10">
        <v>26</v>
      </c>
      <c r="B223" s="10" t="s">
        <v>152</v>
      </c>
      <c r="C223" s="22">
        <f>1044+12*59+12*86</f>
        <v>2784</v>
      </c>
      <c r="D223" s="22"/>
      <c r="E223" s="184"/>
    </row>
    <row r="224" spans="1:5" ht="19.5" hidden="1" thickBot="1" x14ac:dyDescent="0.3">
      <c r="A224" s="10">
        <v>27</v>
      </c>
      <c r="B224" s="10" t="s">
        <v>157</v>
      </c>
      <c r="C224" s="22">
        <f>444+12*19</f>
        <v>672</v>
      </c>
      <c r="D224" s="22"/>
      <c r="E224" s="184"/>
    </row>
    <row r="225" spans="1:5" ht="19.5" hidden="1" thickBot="1" x14ac:dyDescent="0.3">
      <c r="A225" s="10">
        <v>28</v>
      </c>
      <c r="B225" s="10" t="s">
        <v>159</v>
      </c>
      <c r="C225" s="22">
        <f>648+84</f>
        <v>732</v>
      </c>
      <c r="D225" s="22"/>
      <c r="E225" s="184"/>
    </row>
    <row r="226" spans="1:5" ht="19.5" hidden="1" thickBot="1" x14ac:dyDescent="0.3">
      <c r="A226" s="10">
        <v>29</v>
      </c>
      <c r="B226" s="10" t="s">
        <v>164</v>
      </c>
      <c r="C226" s="22">
        <v>6100</v>
      </c>
      <c r="D226" s="22"/>
      <c r="E226" s="184"/>
    </row>
    <row r="227" spans="1:5" ht="19.5" hidden="1" thickBot="1" x14ac:dyDescent="0.3">
      <c r="A227" s="10">
        <v>30</v>
      </c>
      <c r="B227" s="14" t="s">
        <v>166</v>
      </c>
      <c r="C227" s="22"/>
      <c r="D227" s="22"/>
      <c r="E227" s="184"/>
    </row>
    <row r="228" spans="1:5" ht="19.5" hidden="1" thickBot="1" x14ac:dyDescent="0.3">
      <c r="A228" s="10">
        <v>31</v>
      </c>
      <c r="B228" s="10" t="s">
        <v>168</v>
      </c>
      <c r="C228" s="22"/>
      <c r="D228" s="22"/>
      <c r="E228" s="184"/>
    </row>
    <row r="229" spans="1:5" ht="19.5" hidden="1" thickBot="1" x14ac:dyDescent="0.3">
      <c r="A229" s="10">
        <v>32</v>
      </c>
      <c r="B229" s="10" t="s">
        <v>359</v>
      </c>
      <c r="C229" s="22">
        <f>12*62+12*30</f>
        <v>1104</v>
      </c>
      <c r="D229" s="22"/>
      <c r="E229" s="184"/>
    </row>
    <row r="230" spans="1:5" ht="19.5" hidden="1" thickBot="1" x14ac:dyDescent="0.3">
      <c r="A230" s="10">
        <v>33</v>
      </c>
      <c r="B230" s="10" t="s">
        <v>360</v>
      </c>
      <c r="C230" s="22"/>
      <c r="D230" s="22"/>
      <c r="E230" s="184"/>
    </row>
    <row r="231" spans="1:5" ht="19.5" hidden="1" thickBot="1" x14ac:dyDescent="0.3">
      <c r="A231" s="10">
        <v>34</v>
      </c>
      <c r="B231" s="10" t="s">
        <v>176</v>
      </c>
      <c r="C231" s="22"/>
      <c r="D231" s="22"/>
      <c r="E231" s="184"/>
    </row>
    <row r="232" spans="1:5" ht="19.5" hidden="1" thickBot="1" x14ac:dyDescent="0.3">
      <c r="A232" s="10">
        <v>35</v>
      </c>
      <c r="B232" s="10" t="s">
        <v>178</v>
      </c>
      <c r="C232" s="22">
        <f>228+12*52</f>
        <v>852</v>
      </c>
      <c r="D232" s="22"/>
      <c r="E232" s="184"/>
    </row>
    <row r="233" spans="1:5" ht="19.5" hidden="1" thickBot="1" x14ac:dyDescent="0.3">
      <c r="A233" s="10">
        <v>36</v>
      </c>
      <c r="B233" s="10" t="s">
        <v>180</v>
      </c>
      <c r="C233" s="22"/>
      <c r="D233" s="22"/>
      <c r="E233" s="184"/>
    </row>
    <row r="234" spans="1:5" ht="19.5" hidden="1" thickBot="1" x14ac:dyDescent="0.3">
      <c r="A234" s="10">
        <v>37</v>
      </c>
      <c r="B234" s="10" t="s">
        <v>362</v>
      </c>
      <c r="C234" s="22"/>
      <c r="D234" s="22"/>
      <c r="E234" s="184"/>
    </row>
    <row r="235" spans="1:5" ht="19.5" hidden="1" thickBot="1" x14ac:dyDescent="0.3">
      <c r="A235" s="10">
        <v>38</v>
      </c>
      <c r="B235" s="10" t="s">
        <v>182</v>
      </c>
      <c r="C235" s="22"/>
      <c r="D235" s="22"/>
      <c r="E235" s="184"/>
    </row>
    <row r="236" spans="1:5" ht="19.5" hidden="1" thickBot="1" x14ac:dyDescent="0.3">
      <c r="A236" s="10">
        <v>39</v>
      </c>
      <c r="B236" s="10" t="s">
        <v>442</v>
      </c>
      <c r="C236" s="22"/>
      <c r="D236" s="22"/>
      <c r="E236" s="184"/>
    </row>
    <row r="237" spans="1:5" ht="19.5" hidden="1" thickBot="1" x14ac:dyDescent="0.3">
      <c r="A237" s="10">
        <v>40</v>
      </c>
      <c r="B237" s="14" t="s">
        <v>185</v>
      </c>
      <c r="C237" s="22">
        <f>12*63</f>
        <v>756</v>
      </c>
      <c r="D237" s="22"/>
      <c r="E237" s="184"/>
    </row>
    <row r="238" spans="1:5" ht="19.5" hidden="1" thickBot="1" x14ac:dyDescent="0.3">
      <c r="A238" s="10">
        <v>41</v>
      </c>
      <c r="B238" s="10" t="s">
        <v>187</v>
      </c>
      <c r="C238" s="22">
        <f>348+12*109</f>
        <v>1656</v>
      </c>
      <c r="D238" s="22"/>
      <c r="E238" s="184"/>
    </row>
    <row r="239" spans="1:5" ht="19.5" hidden="1" thickBot="1" x14ac:dyDescent="0.3">
      <c r="A239" s="10">
        <v>42</v>
      </c>
      <c r="B239" s="10" t="s">
        <v>190</v>
      </c>
      <c r="C239" s="22"/>
      <c r="D239" s="22"/>
      <c r="E239" s="184"/>
    </row>
    <row r="240" spans="1:5" ht="19.5" hidden="1" thickBot="1" x14ac:dyDescent="0.3">
      <c r="A240" s="10">
        <v>43</v>
      </c>
      <c r="B240" s="14" t="s">
        <v>192</v>
      </c>
      <c r="C240" s="22"/>
      <c r="D240" s="22"/>
      <c r="E240" s="184"/>
    </row>
    <row r="241" spans="1:5" ht="19.5" hidden="1" thickBot="1" x14ac:dyDescent="0.3">
      <c r="A241" s="10">
        <v>44</v>
      </c>
      <c r="B241" s="14" t="s">
        <v>196</v>
      </c>
      <c r="C241" s="22">
        <f>596+101*12</f>
        <v>1808</v>
      </c>
      <c r="D241" s="22"/>
      <c r="E241" s="184"/>
    </row>
    <row r="242" spans="1:5" ht="19.5" hidden="1" thickBot="1" x14ac:dyDescent="0.3">
      <c r="A242" s="10">
        <v>45</v>
      </c>
      <c r="B242" s="10" t="s">
        <v>199</v>
      </c>
      <c r="C242" s="22">
        <f>12*130</f>
        <v>1560</v>
      </c>
      <c r="D242" s="22"/>
      <c r="E242" s="184"/>
    </row>
    <row r="243" spans="1:5" ht="19.5" hidden="1" thickBot="1" x14ac:dyDescent="0.3">
      <c r="A243" s="10">
        <v>46</v>
      </c>
      <c r="B243" s="10" t="s">
        <v>201</v>
      </c>
      <c r="C243" s="22"/>
      <c r="D243" s="22"/>
      <c r="E243" s="184"/>
    </row>
    <row r="244" spans="1:5" ht="19.5" hidden="1" thickBot="1" x14ac:dyDescent="0.3">
      <c r="A244" s="10">
        <v>47</v>
      </c>
      <c r="B244" s="10" t="s">
        <v>203</v>
      </c>
      <c r="C244" s="22"/>
      <c r="D244" s="22"/>
      <c r="E244" s="184"/>
    </row>
    <row r="245" spans="1:5" ht="19.5" hidden="1" thickBot="1" x14ac:dyDescent="0.3">
      <c r="A245" s="10">
        <v>48</v>
      </c>
      <c r="B245" s="10" t="s">
        <v>206</v>
      </c>
      <c r="C245" s="22">
        <v>780</v>
      </c>
      <c r="D245" s="22"/>
      <c r="E245" s="184"/>
    </row>
    <row r="246" spans="1:5" ht="19.5" hidden="1" thickBot="1" x14ac:dyDescent="0.3">
      <c r="A246" s="10">
        <v>49</v>
      </c>
      <c r="B246" s="10" t="s">
        <v>207</v>
      </c>
      <c r="C246" s="22">
        <v>384</v>
      </c>
      <c r="D246" s="22"/>
      <c r="E246" s="184"/>
    </row>
    <row r="247" spans="1:5" ht="19.5" hidden="1" thickBot="1" x14ac:dyDescent="0.3">
      <c r="A247" s="10">
        <v>50</v>
      </c>
      <c r="B247" s="10" t="s">
        <v>368</v>
      </c>
      <c r="C247" s="22">
        <f>12*62</f>
        <v>744</v>
      </c>
      <c r="D247" s="22"/>
      <c r="E247" s="184"/>
    </row>
    <row r="248" spans="1:5" ht="19.5" hidden="1" thickBot="1" x14ac:dyDescent="0.3">
      <c r="A248" s="10">
        <v>51</v>
      </c>
      <c r="B248" s="10" t="s">
        <v>209</v>
      </c>
      <c r="C248" s="22"/>
      <c r="D248" s="22"/>
      <c r="E248" s="184"/>
    </row>
    <row r="249" spans="1:5" ht="19.5" hidden="1" thickBot="1" x14ac:dyDescent="0.3">
      <c r="A249" s="10">
        <v>52</v>
      </c>
      <c r="B249" s="10" t="s">
        <v>213</v>
      </c>
      <c r="C249" s="22">
        <f>120+12*55+12*36</f>
        <v>1212</v>
      </c>
      <c r="D249" s="22"/>
      <c r="E249" s="184"/>
    </row>
    <row r="250" spans="1:5" ht="19.5" hidden="1" thickBot="1" x14ac:dyDescent="0.3">
      <c r="A250" s="10">
        <v>53</v>
      </c>
      <c r="B250" s="15" t="s">
        <v>215</v>
      </c>
      <c r="C250" s="22">
        <v>672</v>
      </c>
      <c r="D250" s="22"/>
      <c r="E250" s="184"/>
    </row>
    <row r="251" spans="1:5" ht="19.5" hidden="1" thickBot="1" x14ac:dyDescent="0.3">
      <c r="A251" s="10">
        <v>54</v>
      </c>
      <c r="B251" s="15" t="s">
        <v>443</v>
      </c>
      <c r="C251" s="22"/>
      <c r="D251" s="22"/>
      <c r="E251" s="184"/>
    </row>
    <row r="252" spans="1:5" ht="19.5" hidden="1" thickBot="1" x14ac:dyDescent="0.3">
      <c r="A252" s="10">
        <v>55</v>
      </c>
      <c r="B252" s="10" t="s">
        <v>444</v>
      </c>
      <c r="C252" s="22">
        <f>672+12*24</f>
        <v>960</v>
      </c>
      <c r="D252" s="22"/>
      <c r="E252" s="184"/>
    </row>
    <row r="253" spans="1:5" ht="19.5" hidden="1" thickBot="1" x14ac:dyDescent="0.3">
      <c r="A253" s="10">
        <v>56</v>
      </c>
      <c r="B253" s="15" t="s">
        <v>445</v>
      </c>
      <c r="C253" s="22">
        <v>1008</v>
      </c>
      <c r="D253" s="22"/>
      <c r="E253" s="184"/>
    </row>
    <row r="254" spans="1:5" ht="19.5" hidden="1" thickBot="1" x14ac:dyDescent="0.3">
      <c r="A254" s="10">
        <v>57</v>
      </c>
      <c r="B254" s="10" t="s">
        <v>446</v>
      </c>
      <c r="C254" s="22">
        <f>780+12*9+12*29</f>
        <v>1236</v>
      </c>
      <c r="D254" s="22"/>
      <c r="E254" s="184"/>
    </row>
    <row r="255" spans="1:5" ht="19.5" hidden="1" thickBot="1" x14ac:dyDescent="0.3">
      <c r="A255" s="10">
        <v>58</v>
      </c>
      <c r="B255" s="10" t="s">
        <v>231</v>
      </c>
      <c r="C255" s="22"/>
      <c r="D255" s="22"/>
      <c r="E255" s="184"/>
    </row>
    <row r="256" spans="1:5" ht="19.5" hidden="1" thickBot="1" x14ac:dyDescent="0.3">
      <c r="A256" s="10">
        <v>59</v>
      </c>
      <c r="B256" s="10" t="s">
        <v>233</v>
      </c>
      <c r="C256" s="22"/>
      <c r="D256" s="22"/>
      <c r="E256" s="184"/>
    </row>
    <row r="257" spans="1:5" ht="19.5" hidden="1" thickBot="1" x14ac:dyDescent="0.3">
      <c r="A257" s="10">
        <v>60</v>
      </c>
      <c r="B257" s="10" t="s">
        <v>235</v>
      </c>
      <c r="C257" s="22"/>
      <c r="D257" s="22"/>
      <c r="E257" s="184"/>
    </row>
    <row r="258" spans="1:5" ht="19.5" hidden="1" thickBot="1" x14ac:dyDescent="0.3">
      <c r="A258" s="10">
        <v>61</v>
      </c>
      <c r="B258" s="10" t="s">
        <v>237</v>
      </c>
      <c r="C258" s="22"/>
      <c r="D258" s="22"/>
      <c r="E258" s="184"/>
    </row>
    <row r="259" spans="1:5" ht="19.5" hidden="1" thickBot="1" x14ac:dyDescent="0.3">
      <c r="A259" s="10">
        <v>62</v>
      </c>
      <c r="B259" s="10" t="s">
        <v>239</v>
      </c>
      <c r="C259" s="22">
        <f>960+12*54</f>
        <v>1608</v>
      </c>
      <c r="D259" s="22"/>
      <c r="E259" s="184"/>
    </row>
    <row r="260" spans="1:5" ht="19.5" hidden="1" thickBot="1" x14ac:dyDescent="0.3">
      <c r="A260" s="10">
        <v>63</v>
      </c>
      <c r="B260" s="10" t="s">
        <v>243</v>
      </c>
      <c r="C260" s="22">
        <f>12*30+12*96</f>
        <v>1512</v>
      </c>
      <c r="D260" s="22"/>
      <c r="E260" s="184"/>
    </row>
    <row r="261" spans="1:5" ht="19.5" hidden="1" thickBot="1" x14ac:dyDescent="0.3">
      <c r="A261" s="10">
        <v>64</v>
      </c>
      <c r="B261" s="10" t="s">
        <v>447</v>
      </c>
      <c r="C261" s="22">
        <f>12*78</f>
        <v>936</v>
      </c>
      <c r="D261" s="22"/>
      <c r="E261" s="184"/>
    </row>
    <row r="262" spans="1:5" ht="19.5" hidden="1" thickBot="1" x14ac:dyDescent="0.3">
      <c r="A262" s="10">
        <v>65</v>
      </c>
      <c r="B262" s="10" t="s">
        <v>375</v>
      </c>
      <c r="C262" s="22"/>
      <c r="D262" s="22"/>
      <c r="E262" s="184"/>
    </row>
    <row r="263" spans="1:5" ht="19.5" hidden="1" thickBot="1" x14ac:dyDescent="0.3">
      <c r="A263" s="10">
        <v>66</v>
      </c>
      <c r="B263" s="10" t="s">
        <v>378</v>
      </c>
      <c r="C263" s="22"/>
      <c r="D263" s="22"/>
      <c r="E263" s="184"/>
    </row>
    <row r="264" spans="1:5" ht="19.5" hidden="1" thickBot="1" x14ac:dyDescent="0.3">
      <c r="A264" s="10">
        <v>67</v>
      </c>
      <c r="B264" s="10" t="s">
        <v>251</v>
      </c>
      <c r="C264" s="22"/>
      <c r="D264" s="22"/>
      <c r="E264" s="184"/>
    </row>
    <row r="265" spans="1:5" ht="19.5" hidden="1" thickBot="1" x14ac:dyDescent="0.3">
      <c r="A265" s="10">
        <v>68</v>
      </c>
      <c r="B265" s="10" t="s">
        <v>253</v>
      </c>
      <c r="C265" s="22"/>
      <c r="D265" s="22"/>
      <c r="E265" s="184"/>
    </row>
    <row r="266" spans="1:5" ht="19.5" hidden="1" thickBot="1" x14ac:dyDescent="0.3">
      <c r="A266" s="10">
        <v>69</v>
      </c>
      <c r="B266" s="10" t="s">
        <v>255</v>
      </c>
      <c r="C266" s="22"/>
      <c r="D266" s="22"/>
      <c r="E266" s="184"/>
    </row>
    <row r="267" spans="1:5" ht="19.5" hidden="1" thickBot="1" x14ac:dyDescent="0.3">
      <c r="A267" s="10">
        <v>70</v>
      </c>
      <c r="B267" s="10" t="s">
        <v>260</v>
      </c>
      <c r="C267" s="22">
        <f>12*86</f>
        <v>1032</v>
      </c>
      <c r="D267" s="22"/>
      <c r="E267" s="184"/>
    </row>
    <row r="268" spans="1:5" ht="19.5" hidden="1" thickBot="1" x14ac:dyDescent="0.3">
      <c r="A268" s="10">
        <v>71</v>
      </c>
      <c r="B268" s="10" t="s">
        <v>448</v>
      </c>
      <c r="C268" s="22">
        <f>12*14</f>
        <v>168</v>
      </c>
      <c r="D268" s="22"/>
      <c r="E268" s="184"/>
    </row>
    <row r="269" spans="1:5" ht="19.5" hidden="1" thickBot="1" x14ac:dyDescent="0.3">
      <c r="A269" s="10">
        <v>72</v>
      </c>
      <c r="B269" s="10" t="s">
        <v>264</v>
      </c>
      <c r="C269" s="22"/>
      <c r="D269" s="22"/>
      <c r="E269" s="184"/>
    </row>
    <row r="270" spans="1:5" ht="19.5" hidden="1" thickBot="1" x14ac:dyDescent="0.3">
      <c r="A270" s="10">
        <v>73</v>
      </c>
      <c r="B270" s="10" t="s">
        <v>267</v>
      </c>
      <c r="C270" s="22">
        <f>1308+12*123</f>
        <v>2784</v>
      </c>
      <c r="D270" s="22"/>
      <c r="E270" s="184"/>
    </row>
    <row r="271" spans="1:5" ht="19.5" hidden="1" thickBot="1" x14ac:dyDescent="0.3">
      <c r="A271" s="10">
        <v>74</v>
      </c>
      <c r="B271" s="10" t="s">
        <v>449</v>
      </c>
      <c r="C271" s="22">
        <f>109*12</f>
        <v>1308</v>
      </c>
      <c r="D271" s="22"/>
      <c r="E271" s="184"/>
    </row>
    <row r="272" spans="1:5" ht="19.5" hidden="1" thickBot="1" x14ac:dyDescent="0.3">
      <c r="A272" s="10">
        <v>75</v>
      </c>
      <c r="B272" s="10" t="s">
        <v>271</v>
      </c>
      <c r="C272" s="22"/>
      <c r="D272" s="22"/>
      <c r="E272" s="184"/>
    </row>
    <row r="273" spans="1:5" ht="19.5" hidden="1" thickBot="1" x14ac:dyDescent="0.3">
      <c r="A273" s="10">
        <v>76</v>
      </c>
      <c r="B273" s="10" t="s">
        <v>276</v>
      </c>
      <c r="C273" s="22"/>
      <c r="D273" s="22"/>
      <c r="E273" s="184"/>
    </row>
    <row r="274" spans="1:5" ht="19.5" hidden="1" thickBot="1" x14ac:dyDescent="0.3">
      <c r="A274" s="10">
        <v>77</v>
      </c>
      <c r="B274" s="10" t="s">
        <v>385</v>
      </c>
      <c r="C274" s="22">
        <f>12*50</f>
        <v>600</v>
      </c>
      <c r="D274" s="22"/>
      <c r="E274" s="184"/>
    </row>
    <row r="275" spans="1:5" ht="19.5" hidden="1" thickBot="1" x14ac:dyDescent="0.3">
      <c r="A275" s="10">
        <v>78</v>
      </c>
      <c r="B275" s="10" t="s">
        <v>384</v>
      </c>
      <c r="C275" s="22">
        <f>12*46</f>
        <v>552</v>
      </c>
      <c r="D275" s="22"/>
      <c r="E275" s="184"/>
    </row>
    <row r="276" spans="1:5" ht="19.5" hidden="1" thickBot="1" x14ac:dyDescent="0.3">
      <c r="A276" s="10">
        <v>79</v>
      </c>
      <c r="B276" s="10" t="s">
        <v>286</v>
      </c>
      <c r="C276" s="22"/>
      <c r="D276" s="22"/>
      <c r="E276" s="184"/>
    </row>
    <row r="277" spans="1:5" ht="19.5" hidden="1" thickBot="1" x14ac:dyDescent="0.3">
      <c r="A277" s="10">
        <v>80</v>
      </c>
      <c r="B277" s="10" t="s">
        <v>284</v>
      </c>
      <c r="C277" s="22">
        <f>12*11</f>
        <v>132</v>
      </c>
      <c r="D277" s="22"/>
      <c r="E277" s="184"/>
    </row>
    <row r="278" spans="1:5" ht="19.5" hidden="1" thickBot="1" x14ac:dyDescent="0.3">
      <c r="A278" s="10">
        <v>81</v>
      </c>
      <c r="B278" s="10" t="s">
        <v>289</v>
      </c>
      <c r="C278" s="22"/>
      <c r="D278" s="22"/>
      <c r="E278" s="184"/>
    </row>
    <row r="279" spans="1:5" ht="19.5" hidden="1" thickBot="1" x14ac:dyDescent="0.3">
      <c r="A279" s="10">
        <v>82</v>
      </c>
      <c r="B279" s="10" t="s">
        <v>291</v>
      </c>
      <c r="C279" s="22"/>
      <c r="D279" s="22"/>
      <c r="E279" s="184"/>
    </row>
    <row r="280" spans="1:5" ht="19.5" hidden="1" thickBot="1" x14ac:dyDescent="0.3">
      <c r="A280" s="10">
        <v>83</v>
      </c>
      <c r="B280" s="10" t="s">
        <v>293</v>
      </c>
      <c r="C280" s="22"/>
      <c r="D280" s="22"/>
      <c r="E280" s="184"/>
    </row>
    <row r="281" spans="1:5" ht="19.5" hidden="1" thickBot="1" x14ac:dyDescent="0.3">
      <c r="A281" s="10">
        <v>84</v>
      </c>
      <c r="B281" s="10" t="s">
        <v>450</v>
      </c>
      <c r="C281" s="22"/>
      <c r="D281" s="22"/>
      <c r="E281" s="184"/>
    </row>
    <row r="282" spans="1:5" ht="19.5" hidden="1" thickBot="1" x14ac:dyDescent="0.3">
      <c r="A282" s="10">
        <v>85</v>
      </c>
      <c r="B282" s="10" t="s">
        <v>451</v>
      </c>
      <c r="C282" s="22"/>
      <c r="D282" s="22"/>
      <c r="E282" s="184"/>
    </row>
    <row r="283" spans="1:5" ht="19.5" hidden="1" thickBot="1" x14ac:dyDescent="0.3">
      <c r="A283" s="10">
        <v>86</v>
      </c>
      <c r="B283" s="10" t="s">
        <v>452</v>
      </c>
      <c r="C283" s="22"/>
      <c r="D283" s="22"/>
      <c r="E283" s="184"/>
    </row>
    <row r="284" spans="1:5" ht="19.5" hidden="1" thickBot="1" x14ac:dyDescent="0.3">
      <c r="A284" s="10">
        <v>87</v>
      </c>
      <c r="B284" s="10" t="s">
        <v>453</v>
      </c>
      <c r="C284" s="22"/>
      <c r="D284" s="22"/>
      <c r="E284" s="184"/>
    </row>
    <row r="285" spans="1:5" ht="19.5" hidden="1" thickBot="1" x14ac:dyDescent="0.3">
      <c r="A285" s="10">
        <v>88</v>
      </c>
      <c r="B285" s="10" t="s">
        <v>303</v>
      </c>
      <c r="C285" s="22"/>
      <c r="D285" s="22"/>
      <c r="E285" s="184"/>
    </row>
    <row r="286" spans="1:5" ht="19.5" hidden="1" thickBot="1" x14ac:dyDescent="0.3">
      <c r="A286" s="10">
        <v>89</v>
      </c>
      <c r="B286" s="10" t="s">
        <v>306</v>
      </c>
      <c r="C286" s="22">
        <f>12*52</f>
        <v>624</v>
      </c>
      <c r="D286" s="22"/>
      <c r="E286" s="184"/>
    </row>
    <row r="287" spans="1:5" ht="19.5" hidden="1" thickBot="1" x14ac:dyDescent="0.3">
      <c r="A287" s="10">
        <v>90</v>
      </c>
      <c r="B287" s="10" t="s">
        <v>309</v>
      </c>
      <c r="C287" s="22">
        <f>12*40</f>
        <v>480</v>
      </c>
      <c r="D287" s="22"/>
      <c r="E287" s="184"/>
    </row>
    <row r="288" spans="1:5" ht="19.5" hidden="1" thickBot="1" x14ac:dyDescent="0.3">
      <c r="A288" s="10">
        <v>91</v>
      </c>
      <c r="B288" s="10" t="s">
        <v>454</v>
      </c>
      <c r="C288" s="22">
        <f>12*25</f>
        <v>300</v>
      </c>
      <c r="D288" s="22"/>
      <c r="E288" s="184"/>
    </row>
    <row r="289" spans="1:5" ht="19.5" hidden="1" thickBot="1" x14ac:dyDescent="0.3">
      <c r="A289" s="10">
        <v>92</v>
      </c>
      <c r="B289" s="10" t="s">
        <v>318</v>
      </c>
      <c r="C289" s="22"/>
      <c r="D289" s="22"/>
      <c r="E289" s="184"/>
    </row>
    <row r="290" spans="1:5" ht="19.5" hidden="1" thickBot="1" x14ac:dyDescent="0.3">
      <c r="A290" s="10">
        <v>93</v>
      </c>
      <c r="B290" s="14" t="s">
        <v>320</v>
      </c>
      <c r="C290" s="22"/>
      <c r="D290" s="22"/>
      <c r="E290" s="184"/>
    </row>
    <row r="291" spans="1:5" ht="19.5" hidden="1" thickBot="1" x14ac:dyDescent="0.3">
      <c r="A291" s="10">
        <v>94</v>
      </c>
      <c r="B291" s="10" t="s">
        <v>323</v>
      </c>
      <c r="C291" s="22">
        <f>384+12*97</f>
        <v>1548</v>
      </c>
      <c r="D291" s="22"/>
      <c r="E291" s="184"/>
    </row>
    <row r="292" spans="1:5" ht="19.5" hidden="1" thickBot="1" x14ac:dyDescent="0.3">
      <c r="A292" s="10">
        <v>95</v>
      </c>
      <c r="B292" s="10" t="s">
        <v>455</v>
      </c>
      <c r="C292" s="22"/>
      <c r="D292" s="22"/>
      <c r="E292" s="184"/>
    </row>
    <row r="293" spans="1:5" ht="19.5" hidden="1" thickBot="1" x14ac:dyDescent="0.3">
      <c r="A293" s="10">
        <v>96</v>
      </c>
      <c r="B293" s="10" t="s">
        <v>327</v>
      </c>
      <c r="C293" s="22">
        <f>2172+12*24</f>
        <v>2460</v>
      </c>
      <c r="D293" s="22"/>
      <c r="E293" s="184"/>
    </row>
    <row r="294" spans="1:5" ht="19.5" hidden="1" thickBot="1" x14ac:dyDescent="0.3">
      <c r="A294" s="10">
        <v>97</v>
      </c>
      <c r="B294" s="10" t="s">
        <v>329</v>
      </c>
      <c r="C294" s="22">
        <f>21*11</f>
        <v>231</v>
      </c>
      <c r="D294" s="22"/>
      <c r="E294" s="184"/>
    </row>
    <row r="295" spans="1:5" ht="19.5" hidden="1" thickBot="1" x14ac:dyDescent="0.3">
      <c r="A295" s="10">
        <v>98</v>
      </c>
      <c r="B295" s="10" t="s">
        <v>456</v>
      </c>
      <c r="C295" s="22">
        <f>12*73</f>
        <v>876</v>
      </c>
      <c r="D295" s="22"/>
      <c r="E295" s="184"/>
    </row>
    <row r="296" spans="1:5" ht="19.5" hidden="1" thickBot="1" x14ac:dyDescent="0.3">
      <c r="A296" s="10">
        <v>99</v>
      </c>
      <c r="B296" s="10" t="s">
        <v>333</v>
      </c>
      <c r="C296" s="22"/>
      <c r="D296" s="22"/>
      <c r="E296" s="184"/>
    </row>
    <row r="297" spans="1:5" ht="19.5" hidden="1" thickBot="1" x14ac:dyDescent="0.3">
      <c r="A297" s="10">
        <v>100</v>
      </c>
      <c r="B297" s="10" t="s">
        <v>403</v>
      </c>
      <c r="C297" s="22"/>
      <c r="D297" s="22"/>
      <c r="E297" s="184"/>
    </row>
    <row r="298" spans="1:5" ht="19.5" hidden="1" thickBot="1" x14ac:dyDescent="0.3">
      <c r="A298" s="10">
        <v>101</v>
      </c>
      <c r="B298" s="10" t="s">
        <v>339</v>
      </c>
      <c r="C298" s="22"/>
      <c r="D298" s="22"/>
      <c r="E298" s="184"/>
    </row>
    <row r="299" spans="1:5" ht="19.5" hidden="1" thickBot="1" x14ac:dyDescent="0.3">
      <c r="A299" s="10">
        <v>102</v>
      </c>
      <c r="B299" s="10" t="s">
        <v>335</v>
      </c>
      <c r="C299" s="22"/>
      <c r="D299" s="22"/>
      <c r="E299" s="184"/>
    </row>
    <row r="300" spans="1:5" ht="19.5" hidden="1" thickBot="1" x14ac:dyDescent="0.3">
      <c r="A300" s="17">
        <v>103</v>
      </c>
      <c r="B300" s="17" t="s">
        <v>336</v>
      </c>
      <c r="C300" s="33"/>
      <c r="D300" s="33"/>
      <c r="E300" s="184"/>
    </row>
    <row r="301" spans="1:5" ht="19.5" hidden="1" thickBot="1" x14ac:dyDescent="0.3">
      <c r="A301" s="17">
        <v>104</v>
      </c>
      <c r="B301" s="17" t="s">
        <v>198</v>
      </c>
      <c r="C301" s="33"/>
      <c r="D301" s="33"/>
      <c r="E301" s="184"/>
    </row>
    <row r="302" spans="1:5" ht="19.5" hidden="1" thickBot="1" x14ac:dyDescent="0.3">
      <c r="A302" s="37"/>
      <c r="B302" s="271" t="s">
        <v>460</v>
      </c>
      <c r="C302" s="38">
        <f>SUM(C198:C301)</f>
        <v>56151</v>
      </c>
      <c r="D302" s="39">
        <f>SUM(D198:D301)</f>
        <v>0</v>
      </c>
      <c r="E302" s="189"/>
    </row>
    <row r="303" spans="1:5" ht="19.5" hidden="1" thickBot="1" x14ac:dyDescent="0.3">
      <c r="A303" s="41"/>
      <c r="B303" s="272"/>
      <c r="C303" s="273"/>
      <c r="D303" s="274"/>
      <c r="E303" s="190"/>
    </row>
    <row r="304" spans="1:5" ht="19.5" hidden="1" thickBot="1" x14ac:dyDescent="0.3">
      <c r="A304" s="40"/>
      <c r="B304" s="42" t="s">
        <v>461</v>
      </c>
      <c r="C304" s="275"/>
      <c r="D304" s="276"/>
      <c r="E304" s="191"/>
    </row>
    <row r="305" spans="1:11" ht="20.25" thickTop="1" thickBot="1" x14ac:dyDescent="0.3">
      <c r="B305" s="87" t="s">
        <v>603</v>
      </c>
      <c r="C305" s="282" t="s">
        <v>462</v>
      </c>
      <c r="D305" s="282"/>
      <c r="E305" s="283"/>
      <c r="F305" s="280" t="s">
        <v>463</v>
      </c>
      <c r="G305" s="280"/>
      <c r="H305" s="281"/>
      <c r="I305" s="278" t="s">
        <v>464</v>
      </c>
      <c r="J305" s="279"/>
      <c r="K305" s="279"/>
    </row>
    <row r="306" spans="1:11" ht="20.25" thickTop="1" thickBot="1" x14ac:dyDescent="0.3">
      <c r="A306" s="36"/>
      <c r="B306" s="20" t="s">
        <v>341</v>
      </c>
      <c r="C306" s="89" t="s">
        <v>342</v>
      </c>
      <c r="D306" s="89" t="s">
        <v>343</v>
      </c>
      <c r="E306" s="192" t="s">
        <v>345</v>
      </c>
      <c r="F306" s="88" t="s">
        <v>465</v>
      </c>
      <c r="G306" s="88" t="s">
        <v>343</v>
      </c>
      <c r="H306" s="88" t="s">
        <v>345</v>
      </c>
      <c r="I306" s="98" t="s">
        <v>466</v>
      </c>
      <c r="J306" s="98" t="s">
        <v>560</v>
      </c>
      <c r="K306" s="98" t="s">
        <v>467</v>
      </c>
    </row>
    <row r="307" spans="1:11" ht="19.5" thickTop="1" x14ac:dyDescent="0.25">
      <c r="A307" s="10">
        <v>1</v>
      </c>
      <c r="B307" s="11" t="s">
        <v>93</v>
      </c>
      <c r="C307" s="73"/>
      <c r="D307" s="74"/>
      <c r="E307" s="74"/>
      <c r="F307" s="83"/>
      <c r="G307" s="83"/>
      <c r="H307" s="83"/>
      <c r="I307" s="99"/>
      <c r="J307" s="99"/>
      <c r="K307" s="99"/>
    </row>
    <row r="308" spans="1:11" x14ac:dyDescent="0.25">
      <c r="A308" s="10">
        <v>2</v>
      </c>
      <c r="B308" s="10" t="s">
        <v>347</v>
      </c>
      <c r="C308" s="73"/>
      <c r="D308" s="74"/>
      <c r="E308" s="74"/>
      <c r="F308" s="83"/>
      <c r="G308" s="83"/>
      <c r="H308" s="83"/>
      <c r="I308" s="99"/>
      <c r="J308" s="99"/>
      <c r="K308" s="99"/>
    </row>
    <row r="309" spans="1:11" x14ac:dyDescent="0.25">
      <c r="A309" s="10">
        <v>3</v>
      </c>
      <c r="B309" s="10" t="s">
        <v>97</v>
      </c>
      <c r="C309" s="73"/>
      <c r="D309" s="74"/>
      <c r="E309" s="74"/>
      <c r="F309" s="83"/>
      <c r="G309" s="83"/>
      <c r="H309" s="83"/>
      <c r="I309" s="99"/>
      <c r="J309" s="99"/>
      <c r="K309" s="99"/>
    </row>
    <row r="310" spans="1:11" x14ac:dyDescent="0.25">
      <c r="A310" s="10">
        <v>4</v>
      </c>
      <c r="B310" s="10" t="s">
        <v>99</v>
      </c>
      <c r="C310" s="73"/>
      <c r="D310" s="75"/>
      <c r="E310" s="75"/>
      <c r="F310" s="243"/>
      <c r="G310" s="104"/>
      <c r="H310" s="82"/>
      <c r="I310" s="99"/>
      <c r="J310" s="99"/>
      <c r="K310" s="99"/>
    </row>
    <row r="311" spans="1:11" x14ac:dyDescent="0.25">
      <c r="A311" s="10">
        <v>5</v>
      </c>
      <c r="B311" s="10" t="s">
        <v>101</v>
      </c>
      <c r="C311" s="73"/>
      <c r="D311" s="73"/>
      <c r="E311" s="73"/>
      <c r="F311" s="84"/>
      <c r="G311" s="84"/>
      <c r="H311" s="84"/>
      <c r="I311" s="99"/>
      <c r="J311" s="99"/>
      <c r="K311" s="99"/>
    </row>
    <row r="312" spans="1:11" x14ac:dyDescent="0.25">
      <c r="A312" s="10"/>
      <c r="B312" s="10" t="s">
        <v>468</v>
      </c>
      <c r="C312" s="73"/>
      <c r="D312" s="73"/>
      <c r="E312" s="73"/>
      <c r="F312" s="84"/>
      <c r="G312" s="84"/>
      <c r="H312" s="84"/>
      <c r="I312" s="99"/>
      <c r="J312" s="99"/>
      <c r="K312" s="99"/>
    </row>
    <row r="313" spans="1:11" x14ac:dyDescent="0.25">
      <c r="A313" s="10">
        <v>6</v>
      </c>
      <c r="B313" s="10" t="s">
        <v>103</v>
      </c>
      <c r="C313" s="73"/>
      <c r="D313" s="73"/>
      <c r="E313" s="73"/>
      <c r="F313" s="84"/>
      <c r="G313" s="84"/>
      <c r="H313" s="84"/>
      <c r="I313" s="99"/>
      <c r="J313" s="99"/>
      <c r="K313" s="99"/>
    </row>
    <row r="314" spans="1:11" x14ac:dyDescent="0.25">
      <c r="A314" s="10"/>
      <c r="B314" s="10" t="s">
        <v>590</v>
      </c>
      <c r="C314" s="73"/>
      <c r="D314" s="73"/>
      <c r="E314" s="73"/>
      <c r="F314" s="84"/>
      <c r="G314" s="84"/>
      <c r="H314" s="84"/>
      <c r="I314" s="99"/>
      <c r="J314" s="99"/>
      <c r="K314" s="99"/>
    </row>
    <row r="315" spans="1:11" x14ac:dyDescent="0.25">
      <c r="A315" s="10"/>
      <c r="B315" s="10" t="s">
        <v>601</v>
      </c>
      <c r="C315" s="73"/>
      <c r="D315" s="73"/>
      <c r="E315" s="73"/>
      <c r="F315" s="84"/>
      <c r="G315" s="84"/>
      <c r="H315" s="84"/>
      <c r="I315" s="99"/>
      <c r="J315" s="99"/>
      <c r="K315" s="99"/>
    </row>
    <row r="316" spans="1:11" x14ac:dyDescent="0.25">
      <c r="A316" s="10"/>
      <c r="B316" s="10" t="s">
        <v>469</v>
      </c>
      <c r="C316" s="73"/>
      <c r="D316" s="73"/>
      <c r="E316" s="73"/>
      <c r="F316" s="84"/>
      <c r="G316" s="84"/>
      <c r="H316" s="84"/>
      <c r="I316" s="99"/>
      <c r="J316" s="99"/>
      <c r="K316" s="99"/>
    </row>
    <row r="317" spans="1:11" x14ac:dyDescent="0.25">
      <c r="A317" s="10"/>
      <c r="B317" s="10" t="s">
        <v>470</v>
      </c>
      <c r="C317" s="73"/>
      <c r="D317" s="73"/>
      <c r="E317" s="73"/>
      <c r="F317" s="84"/>
      <c r="G317" s="84"/>
      <c r="H317" s="84"/>
      <c r="I317" s="99"/>
      <c r="J317" s="99"/>
      <c r="K317" s="99"/>
    </row>
    <row r="318" spans="1:11" x14ac:dyDescent="0.25">
      <c r="A318" s="10">
        <v>7</v>
      </c>
      <c r="B318" s="10" t="s">
        <v>106</v>
      </c>
      <c r="C318" s="73"/>
      <c r="D318" s="73"/>
      <c r="E318" s="73"/>
      <c r="F318" s="84"/>
      <c r="G318" s="84"/>
      <c r="H318" s="84"/>
      <c r="I318" s="99"/>
      <c r="J318" s="99"/>
      <c r="K318" s="99"/>
    </row>
    <row r="319" spans="1:11" x14ac:dyDescent="0.25">
      <c r="A319" s="10"/>
      <c r="B319" s="10" t="s">
        <v>574</v>
      </c>
      <c r="C319" s="73"/>
      <c r="D319" s="73"/>
      <c r="E319" s="73"/>
      <c r="F319" s="84"/>
      <c r="G319" s="84"/>
      <c r="H319" s="84"/>
      <c r="I319" s="99"/>
      <c r="J319" s="99"/>
      <c r="K319" s="99"/>
    </row>
    <row r="320" spans="1:11" x14ac:dyDescent="0.25">
      <c r="A320" s="10">
        <v>8</v>
      </c>
      <c r="B320" s="13" t="s">
        <v>108</v>
      </c>
      <c r="C320" s="73"/>
      <c r="D320" s="73"/>
      <c r="E320" s="73"/>
      <c r="F320" s="84"/>
      <c r="G320" s="84"/>
      <c r="H320" s="84"/>
      <c r="I320" s="99"/>
      <c r="J320" s="99"/>
      <c r="K320" s="99"/>
    </row>
    <row r="321" spans="1:11" x14ac:dyDescent="0.25">
      <c r="A321" s="10">
        <v>9</v>
      </c>
      <c r="B321" s="10" t="s">
        <v>110</v>
      </c>
      <c r="C321" s="73"/>
      <c r="D321" s="73"/>
      <c r="E321" s="73"/>
      <c r="F321" s="84"/>
      <c r="G321" s="84"/>
      <c r="H321" s="84"/>
      <c r="I321" s="99"/>
      <c r="J321" s="99"/>
      <c r="K321" s="99"/>
    </row>
    <row r="322" spans="1:11" x14ac:dyDescent="0.25">
      <c r="A322" s="10">
        <v>10</v>
      </c>
      <c r="B322" s="10" t="s">
        <v>351</v>
      </c>
      <c r="C322" s="73"/>
      <c r="D322" s="73"/>
      <c r="E322" s="73"/>
      <c r="F322" s="84"/>
      <c r="G322" s="84"/>
      <c r="H322" s="84"/>
      <c r="I322" s="99"/>
      <c r="J322" s="99"/>
      <c r="K322" s="99"/>
    </row>
    <row r="323" spans="1:11" x14ac:dyDescent="0.25">
      <c r="A323" s="10">
        <v>11</v>
      </c>
      <c r="B323" s="10" t="s">
        <v>112</v>
      </c>
      <c r="C323" s="73"/>
      <c r="D323" s="73"/>
      <c r="E323" s="73"/>
      <c r="F323" s="84"/>
      <c r="G323" s="84"/>
      <c r="H323" s="84"/>
      <c r="I323" s="99"/>
      <c r="J323" s="99"/>
      <c r="K323" s="99"/>
    </row>
    <row r="324" spans="1:11" x14ac:dyDescent="0.25">
      <c r="A324" s="10">
        <v>12</v>
      </c>
      <c r="B324" s="10" t="s">
        <v>352</v>
      </c>
      <c r="C324" s="73"/>
      <c r="D324" s="73"/>
      <c r="E324" s="73"/>
      <c r="F324" s="84"/>
      <c r="G324" s="84"/>
      <c r="H324" s="84"/>
      <c r="I324" s="99"/>
      <c r="J324" s="99"/>
      <c r="K324" s="99"/>
    </row>
    <row r="325" spans="1:11" x14ac:dyDescent="0.25">
      <c r="A325" s="10">
        <v>13</v>
      </c>
      <c r="B325" s="10" t="s">
        <v>471</v>
      </c>
      <c r="C325" s="73"/>
      <c r="D325" s="73"/>
      <c r="E325" s="73"/>
      <c r="F325" s="84"/>
      <c r="G325" s="84"/>
      <c r="H325" s="84"/>
      <c r="I325" s="99"/>
      <c r="J325" s="99"/>
      <c r="K325" s="99"/>
    </row>
    <row r="326" spans="1:11" x14ac:dyDescent="0.25">
      <c r="A326" s="10">
        <v>14</v>
      </c>
      <c r="B326" s="10" t="s">
        <v>472</v>
      </c>
      <c r="C326" s="73"/>
      <c r="D326" s="73"/>
      <c r="E326" s="73"/>
      <c r="F326" s="154"/>
      <c r="G326" s="154"/>
      <c r="H326" s="84"/>
      <c r="I326" s="99"/>
      <c r="J326" s="99"/>
      <c r="K326" s="99"/>
    </row>
    <row r="327" spans="1:11" x14ac:dyDescent="0.25">
      <c r="A327" s="10">
        <v>15</v>
      </c>
      <c r="B327" s="10" t="s">
        <v>116</v>
      </c>
      <c r="C327" s="73"/>
      <c r="D327" s="73"/>
      <c r="E327" s="73"/>
      <c r="F327" s="84"/>
      <c r="G327" s="84"/>
      <c r="H327" s="84"/>
      <c r="I327" s="99"/>
      <c r="J327" s="99"/>
      <c r="K327" s="99"/>
    </row>
    <row r="328" spans="1:11" x14ac:dyDescent="0.25">
      <c r="A328" s="10"/>
      <c r="B328" s="10" t="s">
        <v>571</v>
      </c>
      <c r="C328" s="73"/>
      <c r="D328" s="73"/>
      <c r="E328" s="73"/>
      <c r="F328" s="84"/>
      <c r="G328" s="84"/>
      <c r="H328" s="84"/>
      <c r="I328" s="99"/>
      <c r="J328" s="99"/>
      <c r="K328" s="99"/>
    </row>
    <row r="329" spans="1:11" x14ac:dyDescent="0.25">
      <c r="A329" s="10"/>
      <c r="B329" s="10" t="s">
        <v>354</v>
      </c>
      <c r="C329" s="73"/>
      <c r="D329" s="73"/>
      <c r="E329" s="73"/>
      <c r="F329" s="84"/>
      <c r="G329" s="84"/>
      <c r="H329" s="84"/>
      <c r="I329" s="99"/>
      <c r="J329" s="99"/>
      <c r="K329" s="99"/>
    </row>
    <row r="330" spans="1:11" x14ac:dyDescent="0.25">
      <c r="A330" s="10">
        <v>16</v>
      </c>
      <c r="B330" s="10" t="s">
        <v>121</v>
      </c>
      <c r="C330" s="73"/>
      <c r="D330" s="73"/>
      <c r="E330" s="73"/>
      <c r="F330" s="84"/>
      <c r="G330" s="84"/>
      <c r="H330" s="84"/>
      <c r="I330" s="99"/>
      <c r="J330" s="99"/>
      <c r="K330" s="99"/>
    </row>
    <row r="331" spans="1:11" x14ac:dyDescent="0.25">
      <c r="A331" s="10">
        <v>17</v>
      </c>
      <c r="B331" s="14" t="s">
        <v>473</v>
      </c>
      <c r="C331" s="76"/>
      <c r="D331" s="73"/>
      <c r="E331" s="73"/>
      <c r="F331" s="84"/>
      <c r="G331" s="84"/>
      <c r="H331" s="84"/>
      <c r="I331" s="99"/>
      <c r="J331" s="99"/>
      <c r="K331" s="99"/>
    </row>
    <row r="332" spans="1:11" x14ac:dyDescent="0.25">
      <c r="A332" s="10"/>
      <c r="B332" s="14" t="s">
        <v>122</v>
      </c>
      <c r="C332" s="76"/>
      <c r="D332" s="73"/>
      <c r="E332" s="73"/>
      <c r="F332" s="84"/>
      <c r="G332" s="84"/>
      <c r="H332" s="84"/>
      <c r="I332" s="99"/>
      <c r="J332" s="99"/>
      <c r="K332" s="99"/>
    </row>
    <row r="333" spans="1:11" x14ac:dyDescent="0.25">
      <c r="A333" s="10">
        <v>18</v>
      </c>
      <c r="B333" s="14" t="s">
        <v>124</v>
      </c>
      <c r="C333" s="76"/>
      <c r="D333" s="73"/>
      <c r="E333" s="73"/>
      <c r="F333" s="84"/>
      <c r="G333" s="84"/>
      <c r="H333" s="84"/>
      <c r="I333" s="99"/>
      <c r="J333" s="99"/>
      <c r="K333" s="99"/>
    </row>
    <row r="334" spans="1:11" x14ac:dyDescent="0.25">
      <c r="A334" s="10">
        <v>19</v>
      </c>
      <c r="B334" s="14" t="s">
        <v>126</v>
      </c>
      <c r="C334" s="76"/>
      <c r="D334" s="73"/>
      <c r="E334" s="73"/>
      <c r="F334" s="84"/>
      <c r="G334" s="84"/>
      <c r="H334" s="84"/>
      <c r="I334" s="99"/>
      <c r="J334" s="99"/>
      <c r="K334" s="99"/>
    </row>
    <row r="335" spans="1:11" x14ac:dyDescent="0.25">
      <c r="A335" s="10">
        <v>20</v>
      </c>
      <c r="B335" s="14" t="s">
        <v>128</v>
      </c>
      <c r="C335" s="73"/>
      <c r="D335" s="73"/>
      <c r="E335" s="73"/>
      <c r="F335" s="84"/>
      <c r="G335" s="84"/>
      <c r="H335" s="84"/>
      <c r="I335" s="99"/>
      <c r="J335" s="99"/>
      <c r="K335" s="99"/>
    </row>
    <row r="336" spans="1:11" x14ac:dyDescent="0.25">
      <c r="A336" s="10"/>
      <c r="B336" s="14" t="s">
        <v>474</v>
      </c>
      <c r="C336" s="76"/>
      <c r="D336" s="73"/>
      <c r="E336" s="73"/>
      <c r="F336" s="84"/>
      <c r="G336" s="84"/>
      <c r="H336" s="84"/>
      <c r="I336" s="99"/>
      <c r="J336" s="99"/>
      <c r="K336" s="99"/>
    </row>
    <row r="337" spans="1:11" x14ac:dyDescent="0.25">
      <c r="A337" s="10">
        <v>21</v>
      </c>
      <c r="B337" s="14" t="s">
        <v>131</v>
      </c>
      <c r="C337" s="76"/>
      <c r="D337" s="73"/>
      <c r="E337" s="73"/>
      <c r="F337" s="84"/>
      <c r="G337" s="84"/>
      <c r="H337" s="84"/>
      <c r="I337" s="99"/>
      <c r="J337" s="99"/>
      <c r="K337" s="99"/>
    </row>
    <row r="338" spans="1:11" x14ac:dyDescent="0.25">
      <c r="A338" s="10">
        <v>22</v>
      </c>
      <c r="B338" s="14" t="s">
        <v>475</v>
      </c>
      <c r="C338" s="76"/>
      <c r="D338" s="73"/>
      <c r="E338" s="73"/>
      <c r="F338" s="84"/>
      <c r="G338" s="84"/>
      <c r="H338" s="84"/>
      <c r="I338" s="99"/>
      <c r="J338" s="99"/>
      <c r="K338" s="99"/>
    </row>
    <row r="339" spans="1:11" x14ac:dyDescent="0.25">
      <c r="A339" s="10">
        <v>23</v>
      </c>
      <c r="B339" s="14" t="s">
        <v>133</v>
      </c>
      <c r="C339" s="76"/>
      <c r="D339" s="73"/>
      <c r="E339" s="73"/>
      <c r="F339" s="84"/>
      <c r="G339" s="84"/>
      <c r="H339" s="84"/>
      <c r="I339" s="100"/>
      <c r="J339" s="99"/>
      <c r="K339" s="99"/>
    </row>
    <row r="340" spans="1:11" x14ac:dyDescent="0.25">
      <c r="A340" s="10">
        <v>24</v>
      </c>
      <c r="B340" s="14" t="s">
        <v>135</v>
      </c>
      <c r="C340" s="77"/>
      <c r="D340" s="73"/>
      <c r="E340" s="73"/>
      <c r="F340" s="84"/>
      <c r="G340" s="84"/>
      <c r="H340" s="84"/>
      <c r="I340" s="99"/>
      <c r="J340" s="99"/>
      <c r="K340" s="99"/>
    </row>
    <row r="341" spans="1:11" x14ac:dyDescent="0.25">
      <c r="A341" s="10"/>
      <c r="B341" s="14" t="s">
        <v>570</v>
      </c>
      <c r="C341" s="77"/>
      <c r="D341" s="73"/>
      <c r="E341" s="73"/>
      <c r="F341" s="84"/>
      <c r="G341" s="84"/>
      <c r="H341" s="84"/>
      <c r="I341" s="99"/>
      <c r="J341" s="99"/>
      <c r="K341" s="99"/>
    </row>
    <row r="342" spans="1:11" x14ac:dyDescent="0.25">
      <c r="A342" s="10">
        <v>25</v>
      </c>
      <c r="B342" s="14" t="s">
        <v>138</v>
      </c>
      <c r="C342" s="76"/>
      <c r="D342" s="73"/>
      <c r="E342" s="73"/>
      <c r="F342" s="84"/>
      <c r="G342" s="84"/>
      <c r="H342" s="84"/>
      <c r="I342" s="99"/>
      <c r="J342" s="99"/>
      <c r="K342" s="99"/>
    </row>
    <row r="343" spans="1:11" x14ac:dyDescent="0.25">
      <c r="A343" s="10">
        <v>26</v>
      </c>
      <c r="B343" s="14" t="s">
        <v>139</v>
      </c>
      <c r="C343" s="76"/>
      <c r="D343" s="73"/>
      <c r="E343" s="73"/>
      <c r="F343" s="84"/>
      <c r="G343" s="84"/>
      <c r="H343" s="84"/>
      <c r="I343" s="99"/>
      <c r="J343" s="99"/>
      <c r="K343" s="99"/>
    </row>
    <row r="344" spans="1:11" x14ac:dyDescent="0.25">
      <c r="A344" s="10">
        <v>27</v>
      </c>
      <c r="B344" s="14" t="s">
        <v>141</v>
      </c>
      <c r="C344" s="76"/>
      <c r="D344" s="73"/>
      <c r="E344" s="73"/>
      <c r="F344" s="84"/>
      <c r="G344" s="84"/>
      <c r="H344" s="84"/>
      <c r="I344" s="99"/>
      <c r="J344" s="99"/>
      <c r="K344" s="99"/>
    </row>
    <row r="345" spans="1:11" x14ac:dyDescent="0.25">
      <c r="A345" s="10">
        <v>28</v>
      </c>
      <c r="B345" s="14" t="s">
        <v>147</v>
      </c>
      <c r="C345" s="76"/>
      <c r="D345" s="73"/>
      <c r="E345" s="73"/>
      <c r="F345" s="84"/>
      <c r="G345" s="84"/>
      <c r="H345" s="84"/>
      <c r="I345" s="99"/>
      <c r="J345" s="99"/>
      <c r="K345" s="99"/>
    </row>
    <row r="346" spans="1:11" x14ac:dyDescent="0.25">
      <c r="A346" s="10">
        <v>29</v>
      </c>
      <c r="B346" s="14" t="s">
        <v>143</v>
      </c>
      <c r="C346" s="76"/>
      <c r="D346" s="73"/>
      <c r="E346" s="73"/>
      <c r="F346" s="84"/>
      <c r="G346" s="84"/>
      <c r="H346" s="84"/>
      <c r="I346" s="99"/>
      <c r="J346" s="99"/>
      <c r="K346" s="99"/>
    </row>
    <row r="347" spans="1:11" x14ac:dyDescent="0.25">
      <c r="A347" s="10">
        <v>30</v>
      </c>
      <c r="B347" s="14" t="s">
        <v>476</v>
      </c>
      <c r="C347" s="76"/>
      <c r="D347" s="73"/>
      <c r="E347" s="73"/>
      <c r="F347" s="84"/>
      <c r="G347" s="84"/>
      <c r="H347" s="84"/>
      <c r="I347" s="99"/>
      <c r="J347" s="99"/>
      <c r="K347" s="99"/>
    </row>
    <row r="348" spans="1:11" x14ac:dyDescent="0.25">
      <c r="A348" s="10"/>
      <c r="B348" s="14" t="s">
        <v>477</v>
      </c>
      <c r="C348" s="76"/>
      <c r="D348" s="73"/>
      <c r="E348" s="73"/>
      <c r="F348" s="84"/>
      <c r="G348" s="84"/>
      <c r="H348" s="84"/>
      <c r="I348" s="99"/>
      <c r="J348" s="99"/>
      <c r="K348" s="99"/>
    </row>
    <row r="349" spans="1:11" x14ac:dyDescent="0.25">
      <c r="A349" s="10"/>
      <c r="B349" s="14" t="s">
        <v>600</v>
      </c>
      <c r="C349" s="76">
        <f>72*14</f>
        <v>1008</v>
      </c>
      <c r="D349" s="73"/>
      <c r="E349" s="73"/>
      <c r="F349" s="84"/>
      <c r="G349" s="84"/>
      <c r="H349" s="84"/>
      <c r="I349" s="99"/>
      <c r="J349" s="99"/>
      <c r="K349" s="99"/>
    </row>
    <row r="350" spans="1:11" x14ac:dyDescent="0.25">
      <c r="A350" s="10"/>
      <c r="B350" s="14" t="s">
        <v>558</v>
      </c>
      <c r="C350" s="76"/>
      <c r="D350" s="73"/>
      <c r="E350" s="73"/>
      <c r="F350" s="84"/>
      <c r="G350" s="84"/>
      <c r="H350" s="84"/>
      <c r="I350" s="99"/>
      <c r="J350" s="99"/>
      <c r="K350" s="99"/>
    </row>
    <row r="351" spans="1:11" x14ac:dyDescent="0.25">
      <c r="A351" s="10"/>
      <c r="B351" s="14" t="s">
        <v>355</v>
      </c>
      <c r="C351" s="76"/>
      <c r="D351" s="73"/>
      <c r="E351" s="73"/>
      <c r="F351" s="84"/>
      <c r="G351" s="84"/>
      <c r="H351" s="84"/>
      <c r="I351" s="99"/>
      <c r="J351" s="99"/>
      <c r="K351" s="99"/>
    </row>
    <row r="352" spans="1:11" x14ac:dyDescent="0.25">
      <c r="A352" s="10"/>
      <c r="B352" s="14" t="s">
        <v>153</v>
      </c>
      <c r="C352" s="76"/>
      <c r="D352" s="73"/>
      <c r="E352" s="73"/>
      <c r="F352" s="84"/>
      <c r="G352" s="84"/>
      <c r="H352" s="84"/>
      <c r="I352" s="99"/>
      <c r="J352" s="99"/>
      <c r="K352" s="99"/>
    </row>
    <row r="353" spans="1:11" x14ac:dyDescent="0.25">
      <c r="A353" s="10">
        <v>31</v>
      </c>
      <c r="B353" s="14" t="s">
        <v>152</v>
      </c>
      <c r="C353" s="76"/>
      <c r="D353" s="73"/>
      <c r="E353" s="73"/>
      <c r="F353" s="84"/>
      <c r="G353" s="84"/>
      <c r="H353" s="84"/>
      <c r="I353" s="99"/>
      <c r="J353" s="99"/>
      <c r="K353" s="99"/>
    </row>
    <row r="354" spans="1:11" x14ac:dyDescent="0.25">
      <c r="A354" s="10"/>
      <c r="B354" s="14" t="s">
        <v>357</v>
      </c>
      <c r="C354" s="76"/>
      <c r="D354" s="73"/>
      <c r="E354" s="73"/>
      <c r="F354" s="84"/>
      <c r="G354" s="84"/>
      <c r="H354" s="84"/>
      <c r="I354" s="99"/>
      <c r="J354" s="99"/>
      <c r="K354" s="99"/>
    </row>
    <row r="355" spans="1:11" x14ac:dyDescent="0.25">
      <c r="A355" s="10"/>
      <c r="B355" s="14" t="s">
        <v>155</v>
      </c>
      <c r="C355" s="76"/>
      <c r="D355" s="73"/>
      <c r="E355" s="73"/>
      <c r="F355" s="84"/>
      <c r="G355" s="84"/>
      <c r="H355" s="84"/>
      <c r="I355" s="99"/>
      <c r="J355" s="99"/>
      <c r="K355" s="99"/>
    </row>
    <row r="356" spans="1:11" x14ac:dyDescent="0.25">
      <c r="A356" s="10">
        <v>32</v>
      </c>
      <c r="B356" s="14" t="s">
        <v>157</v>
      </c>
      <c r="C356" s="76"/>
      <c r="D356" s="73"/>
      <c r="E356" s="73"/>
      <c r="F356" s="84"/>
      <c r="G356" s="84"/>
      <c r="H356" s="84"/>
      <c r="I356" s="99"/>
      <c r="J356" s="99"/>
      <c r="K356" s="99"/>
    </row>
    <row r="357" spans="1:11" x14ac:dyDescent="0.25">
      <c r="A357" s="10">
        <v>33</v>
      </c>
      <c r="B357" s="14" t="s">
        <v>159</v>
      </c>
      <c r="C357" s="76"/>
      <c r="D357" s="73"/>
      <c r="E357" s="73"/>
      <c r="F357" s="84"/>
      <c r="G357" s="84"/>
      <c r="H357" s="84"/>
      <c r="I357" s="99"/>
      <c r="J357" s="99"/>
      <c r="K357" s="99"/>
    </row>
    <row r="358" spans="1:11" x14ac:dyDescent="0.25">
      <c r="A358" s="10">
        <v>34</v>
      </c>
      <c r="B358" s="14" t="s">
        <v>478</v>
      </c>
      <c r="C358" s="76"/>
      <c r="D358" s="73"/>
      <c r="E358" s="73"/>
      <c r="F358" s="84"/>
      <c r="G358" s="84"/>
      <c r="H358" s="84"/>
      <c r="I358" s="99"/>
      <c r="J358" s="99"/>
      <c r="K358" s="99"/>
    </row>
    <row r="359" spans="1:11" x14ac:dyDescent="0.25">
      <c r="A359" s="10"/>
      <c r="B359" s="14" t="s">
        <v>162</v>
      </c>
      <c r="C359" s="76"/>
      <c r="D359" s="73"/>
      <c r="E359" s="73"/>
      <c r="F359" s="84"/>
      <c r="G359" s="84"/>
      <c r="H359" s="84"/>
      <c r="I359" s="99"/>
      <c r="J359" s="99"/>
      <c r="K359" s="99"/>
    </row>
    <row r="360" spans="1:11" x14ac:dyDescent="0.25">
      <c r="A360" s="10">
        <v>35</v>
      </c>
      <c r="B360" s="14" t="s">
        <v>164</v>
      </c>
      <c r="C360" s="76"/>
      <c r="D360" s="73"/>
      <c r="E360" s="73"/>
      <c r="F360" s="84"/>
      <c r="G360" s="84"/>
      <c r="H360" s="84"/>
      <c r="I360" s="99"/>
      <c r="J360" s="99"/>
      <c r="K360" s="99"/>
    </row>
    <row r="361" spans="1:11" x14ac:dyDescent="0.25">
      <c r="A361" s="10">
        <v>36</v>
      </c>
      <c r="B361" s="14" t="s">
        <v>166</v>
      </c>
      <c r="C361" s="76"/>
      <c r="D361" s="73"/>
      <c r="E361" s="73"/>
      <c r="F361" s="84"/>
      <c r="G361" s="84"/>
      <c r="H361" s="84"/>
      <c r="I361" s="99"/>
      <c r="J361" s="99"/>
      <c r="K361" s="99"/>
    </row>
    <row r="362" spans="1:11" x14ac:dyDescent="0.25">
      <c r="A362" s="10">
        <v>37</v>
      </c>
      <c r="B362" s="14" t="s">
        <v>168</v>
      </c>
      <c r="C362" s="76"/>
      <c r="D362" s="73"/>
      <c r="E362" s="73"/>
      <c r="F362" s="84"/>
      <c r="G362" s="84"/>
      <c r="H362" s="84"/>
      <c r="I362" s="99"/>
      <c r="J362" s="99"/>
      <c r="K362" s="99"/>
    </row>
    <row r="363" spans="1:11" x14ac:dyDescent="0.25">
      <c r="A363" s="10"/>
      <c r="B363" s="14" t="s">
        <v>169</v>
      </c>
      <c r="C363" s="76"/>
      <c r="D363" s="73"/>
      <c r="E363" s="73"/>
      <c r="F363" s="84"/>
      <c r="G363" s="84"/>
      <c r="H363" s="84"/>
      <c r="I363" s="99"/>
      <c r="J363" s="99"/>
      <c r="K363" s="99"/>
    </row>
    <row r="364" spans="1:11" x14ac:dyDescent="0.25">
      <c r="A364" s="10"/>
      <c r="B364" s="14" t="s">
        <v>171</v>
      </c>
      <c r="C364" s="76"/>
      <c r="D364" s="73"/>
      <c r="E364" s="73"/>
      <c r="F364" s="84"/>
      <c r="G364" s="84"/>
      <c r="H364" s="84"/>
      <c r="I364" s="99"/>
      <c r="J364" s="99"/>
      <c r="K364" s="99"/>
    </row>
    <row r="365" spans="1:11" x14ac:dyDescent="0.25">
      <c r="A365" s="10">
        <v>38</v>
      </c>
      <c r="B365" s="14" t="s">
        <v>359</v>
      </c>
      <c r="C365" s="76"/>
      <c r="D365" s="73"/>
      <c r="E365" s="73"/>
      <c r="F365" s="84">
        <f>404</f>
        <v>404</v>
      </c>
      <c r="G365" s="84"/>
      <c r="H365" s="84"/>
      <c r="I365" s="99"/>
      <c r="J365" s="99"/>
      <c r="K365" s="99"/>
    </row>
    <row r="366" spans="1:11" x14ac:dyDescent="0.25">
      <c r="A366" s="10">
        <v>39</v>
      </c>
      <c r="B366" s="14" t="s">
        <v>360</v>
      </c>
      <c r="C366" s="76"/>
      <c r="D366" s="73"/>
      <c r="E366" s="73"/>
      <c r="F366" s="84"/>
      <c r="G366" s="84"/>
      <c r="H366" s="84"/>
      <c r="I366" s="99"/>
      <c r="J366" s="99"/>
      <c r="K366" s="99"/>
    </row>
    <row r="367" spans="1:11" x14ac:dyDescent="0.25">
      <c r="A367" s="10">
        <v>40</v>
      </c>
      <c r="B367" s="14" t="s">
        <v>176</v>
      </c>
      <c r="C367" s="76"/>
      <c r="D367" s="73"/>
      <c r="E367" s="73"/>
      <c r="F367" s="84"/>
      <c r="G367" s="84"/>
      <c r="H367" s="84"/>
      <c r="I367" s="99"/>
      <c r="J367" s="99"/>
      <c r="K367" s="99"/>
    </row>
    <row r="368" spans="1:11" x14ac:dyDescent="0.25">
      <c r="A368" s="10">
        <v>41</v>
      </c>
      <c r="B368" s="14" t="s">
        <v>178</v>
      </c>
      <c r="C368" s="76"/>
      <c r="D368" s="73"/>
      <c r="E368" s="73"/>
      <c r="F368" s="84"/>
      <c r="G368" s="84"/>
      <c r="H368" s="84"/>
      <c r="I368" s="99">
        <f>1000</f>
        <v>1000</v>
      </c>
      <c r="J368" s="99"/>
      <c r="K368" s="99"/>
    </row>
    <row r="369" spans="1:11" x14ac:dyDescent="0.25">
      <c r="A369" s="10"/>
      <c r="B369" s="14" t="s">
        <v>479</v>
      </c>
      <c r="C369" s="76"/>
      <c r="D369" s="73"/>
      <c r="E369" s="73"/>
      <c r="F369" s="84"/>
      <c r="G369" s="84"/>
      <c r="H369" s="84"/>
      <c r="I369" s="99"/>
      <c r="J369" s="99"/>
      <c r="K369" s="99"/>
    </row>
    <row r="370" spans="1:11" x14ac:dyDescent="0.25">
      <c r="A370" s="10">
        <v>42</v>
      </c>
      <c r="B370" s="14" t="s">
        <v>180</v>
      </c>
      <c r="C370" s="76"/>
      <c r="D370" s="73"/>
      <c r="E370" s="73"/>
      <c r="F370" s="84"/>
      <c r="G370" s="84"/>
      <c r="H370" s="84"/>
      <c r="I370" s="99"/>
      <c r="J370" s="99"/>
      <c r="K370" s="99"/>
    </row>
    <row r="371" spans="1:11" x14ac:dyDescent="0.25">
      <c r="A371" s="10">
        <v>43</v>
      </c>
      <c r="B371" s="14" t="s">
        <v>362</v>
      </c>
      <c r="C371" s="76"/>
      <c r="D371" s="73"/>
      <c r="E371" s="73"/>
      <c r="F371" s="84"/>
      <c r="G371" s="84"/>
      <c r="H371" s="84"/>
      <c r="I371" s="99"/>
      <c r="J371" s="99"/>
      <c r="K371" s="99"/>
    </row>
    <row r="372" spans="1:11" x14ac:dyDescent="0.25">
      <c r="A372" s="10">
        <v>44</v>
      </c>
      <c r="B372" s="14" t="s">
        <v>182</v>
      </c>
      <c r="C372" s="76"/>
      <c r="D372" s="73"/>
      <c r="E372" s="73"/>
      <c r="F372" s="84"/>
      <c r="G372" s="84"/>
      <c r="H372" s="84"/>
      <c r="I372" s="99"/>
      <c r="J372" s="99"/>
      <c r="K372" s="99"/>
    </row>
    <row r="373" spans="1:11" x14ac:dyDescent="0.25">
      <c r="A373" s="10">
        <v>45</v>
      </c>
      <c r="B373" s="14" t="s">
        <v>364</v>
      </c>
      <c r="C373" s="76"/>
      <c r="D373" s="73"/>
      <c r="E373" s="73"/>
      <c r="F373" s="84"/>
      <c r="G373" s="84"/>
      <c r="H373" s="84"/>
      <c r="I373" s="99"/>
      <c r="J373" s="99"/>
      <c r="K373" s="99"/>
    </row>
    <row r="374" spans="1:11" x14ac:dyDescent="0.25">
      <c r="A374" s="10">
        <v>46</v>
      </c>
      <c r="B374" s="14" t="s">
        <v>480</v>
      </c>
      <c r="C374" s="76"/>
      <c r="D374" s="73"/>
      <c r="E374" s="73"/>
      <c r="F374" s="84"/>
      <c r="G374" s="84"/>
      <c r="H374" s="84"/>
      <c r="I374" s="99"/>
      <c r="J374" s="99"/>
      <c r="K374" s="99"/>
    </row>
    <row r="375" spans="1:11" x14ac:dyDescent="0.25">
      <c r="A375" s="10">
        <v>47</v>
      </c>
      <c r="B375" s="14" t="s">
        <v>185</v>
      </c>
      <c r="C375" s="76"/>
      <c r="D375" s="73"/>
      <c r="E375" s="73"/>
      <c r="F375" s="84"/>
      <c r="G375" s="84"/>
      <c r="H375" s="84"/>
      <c r="I375" s="99"/>
      <c r="J375" s="99"/>
      <c r="K375" s="99"/>
    </row>
    <row r="376" spans="1:11" x14ac:dyDescent="0.25">
      <c r="A376" s="10">
        <v>48</v>
      </c>
      <c r="B376" s="14" t="s">
        <v>187</v>
      </c>
      <c r="C376" s="76"/>
      <c r="D376" s="73"/>
      <c r="E376" s="73"/>
      <c r="F376" s="84"/>
      <c r="G376" s="84"/>
      <c r="H376" s="84"/>
      <c r="I376" s="99"/>
      <c r="J376" s="99"/>
      <c r="K376" s="99"/>
    </row>
    <row r="377" spans="1:11" x14ac:dyDescent="0.25">
      <c r="A377" s="10"/>
      <c r="B377" s="14" t="s">
        <v>366</v>
      </c>
      <c r="C377" s="76"/>
      <c r="D377" s="73"/>
      <c r="E377" s="73"/>
      <c r="F377" s="84"/>
      <c r="G377" s="84"/>
      <c r="H377" s="84"/>
      <c r="I377" s="99"/>
      <c r="J377" s="99"/>
      <c r="K377" s="99"/>
    </row>
    <row r="378" spans="1:11" x14ac:dyDescent="0.25">
      <c r="A378" s="10"/>
      <c r="B378" s="14" t="s">
        <v>543</v>
      </c>
      <c r="C378" s="76"/>
      <c r="D378" s="73"/>
      <c r="E378" s="73"/>
      <c r="F378" s="84"/>
      <c r="G378" s="84"/>
      <c r="H378" s="84"/>
      <c r="I378" s="99"/>
      <c r="J378" s="99"/>
      <c r="K378" s="99"/>
    </row>
    <row r="379" spans="1:11" x14ac:dyDescent="0.25">
      <c r="A379" s="10"/>
      <c r="B379" s="14" t="s">
        <v>542</v>
      </c>
      <c r="C379" s="76"/>
      <c r="D379" s="73"/>
      <c r="E379" s="73"/>
      <c r="F379" s="84"/>
      <c r="G379" s="84"/>
      <c r="H379" s="84"/>
      <c r="I379" s="99"/>
      <c r="J379" s="99"/>
      <c r="K379" s="99"/>
    </row>
    <row r="380" spans="1:11" x14ac:dyDescent="0.25">
      <c r="A380" s="10"/>
      <c r="B380" s="14" t="s">
        <v>481</v>
      </c>
      <c r="C380" s="76"/>
      <c r="D380" s="73"/>
      <c r="E380" s="73"/>
      <c r="F380" s="84"/>
      <c r="G380" s="84"/>
      <c r="H380" s="84"/>
      <c r="I380" s="99"/>
      <c r="J380" s="99"/>
      <c r="K380" s="99"/>
    </row>
    <row r="381" spans="1:11" x14ac:dyDescent="0.25">
      <c r="A381" s="10"/>
      <c r="B381" s="14" t="s">
        <v>482</v>
      </c>
      <c r="C381" s="76"/>
      <c r="D381" s="73"/>
      <c r="E381" s="73"/>
      <c r="F381" s="84"/>
      <c r="G381" s="84"/>
      <c r="H381" s="84"/>
      <c r="I381" s="99"/>
      <c r="J381" s="99"/>
      <c r="K381" s="99"/>
    </row>
    <row r="382" spans="1:11" x14ac:dyDescent="0.25">
      <c r="A382" s="10">
        <v>49</v>
      </c>
      <c r="B382" s="14" t="s">
        <v>190</v>
      </c>
      <c r="C382" s="76"/>
      <c r="D382" s="73"/>
      <c r="E382" s="73"/>
      <c r="F382" s="84"/>
      <c r="G382" s="84"/>
      <c r="H382" s="84"/>
      <c r="I382" s="99"/>
      <c r="J382" s="99"/>
      <c r="K382" s="99"/>
    </row>
    <row r="383" spans="1:11" x14ac:dyDescent="0.25">
      <c r="A383" s="10"/>
      <c r="B383" s="14" t="s">
        <v>483</v>
      </c>
      <c r="C383" s="76"/>
      <c r="D383" s="73"/>
      <c r="E383" s="73"/>
      <c r="F383" s="84"/>
      <c r="G383" s="84"/>
      <c r="H383" s="84"/>
      <c r="I383" s="99"/>
      <c r="J383" s="99"/>
      <c r="K383" s="99"/>
    </row>
    <row r="384" spans="1:11" x14ac:dyDescent="0.25">
      <c r="A384" s="10">
        <v>50</v>
      </c>
      <c r="B384" s="14" t="s">
        <v>192</v>
      </c>
      <c r="C384" s="76"/>
      <c r="D384" s="73"/>
      <c r="E384" s="73"/>
      <c r="F384" s="84"/>
      <c r="G384" s="84"/>
      <c r="H384" s="84"/>
      <c r="I384" s="99"/>
      <c r="J384" s="99"/>
      <c r="K384" s="99"/>
    </row>
    <row r="385" spans="1:11" x14ac:dyDescent="0.25">
      <c r="A385" s="10">
        <v>51</v>
      </c>
      <c r="B385" s="14" t="s">
        <v>589</v>
      </c>
      <c r="C385" s="76"/>
      <c r="D385" s="73"/>
      <c r="E385" s="73"/>
      <c r="F385" s="84"/>
      <c r="G385" s="84"/>
      <c r="H385" s="84"/>
      <c r="I385" s="99"/>
      <c r="J385" s="99"/>
      <c r="K385" s="99"/>
    </row>
    <row r="386" spans="1:11" x14ac:dyDescent="0.25">
      <c r="A386" s="10">
        <v>52</v>
      </c>
      <c r="B386" s="14" t="s">
        <v>196</v>
      </c>
      <c r="C386" s="76"/>
      <c r="D386" s="73"/>
      <c r="E386" s="73"/>
      <c r="F386" s="84"/>
      <c r="G386" s="84"/>
      <c r="H386" s="84"/>
      <c r="I386" s="99"/>
      <c r="J386" s="99"/>
      <c r="K386" s="99"/>
    </row>
    <row r="387" spans="1:11" x14ac:dyDescent="0.25">
      <c r="A387" s="10">
        <v>53</v>
      </c>
      <c r="B387" s="14" t="s">
        <v>198</v>
      </c>
      <c r="C387" s="76"/>
      <c r="D387" s="73"/>
      <c r="E387" s="73"/>
      <c r="F387" s="90"/>
      <c r="G387" s="90"/>
      <c r="H387" s="84"/>
      <c r="I387" s="99"/>
      <c r="J387" s="99"/>
      <c r="K387" s="99"/>
    </row>
    <row r="388" spans="1:11" x14ac:dyDescent="0.25">
      <c r="A388" s="10">
        <v>54</v>
      </c>
      <c r="B388" s="14" t="s">
        <v>199</v>
      </c>
      <c r="C388" s="76"/>
      <c r="D388" s="73"/>
      <c r="E388" s="73"/>
      <c r="F388" s="84"/>
      <c r="G388" s="84"/>
      <c r="H388" s="84"/>
      <c r="I388" s="99"/>
      <c r="J388" s="99"/>
      <c r="K388" s="99"/>
    </row>
    <row r="389" spans="1:11" x14ac:dyDescent="0.25">
      <c r="A389" s="10">
        <v>55</v>
      </c>
      <c r="B389" s="14" t="s">
        <v>201</v>
      </c>
      <c r="C389" s="78"/>
      <c r="D389" s="79"/>
      <c r="E389" s="79"/>
      <c r="F389" s="84"/>
      <c r="G389" s="84"/>
      <c r="H389" s="96"/>
      <c r="I389" s="99"/>
      <c r="J389" s="99"/>
      <c r="K389" s="99"/>
    </row>
    <row r="390" spans="1:11" x14ac:dyDescent="0.25">
      <c r="A390" s="10">
        <v>56</v>
      </c>
      <c r="B390" s="14" t="s">
        <v>203</v>
      </c>
      <c r="C390" s="78"/>
      <c r="D390" s="79"/>
      <c r="E390" s="79"/>
      <c r="F390" s="95"/>
      <c r="G390" s="95"/>
      <c r="H390" s="84"/>
      <c r="I390" s="99"/>
      <c r="J390" s="99"/>
      <c r="K390" s="99"/>
    </row>
    <row r="391" spans="1:11" x14ac:dyDescent="0.25">
      <c r="A391" s="10">
        <v>57</v>
      </c>
      <c r="B391" s="14" t="s">
        <v>484</v>
      </c>
      <c r="C391" s="78"/>
      <c r="D391" s="73"/>
      <c r="E391" s="73"/>
      <c r="F391" s="95"/>
      <c r="G391" s="95"/>
      <c r="H391" s="85"/>
      <c r="I391" s="99"/>
      <c r="J391" s="99"/>
      <c r="K391" s="99"/>
    </row>
    <row r="392" spans="1:11" x14ac:dyDescent="0.25">
      <c r="A392" s="10">
        <v>58</v>
      </c>
      <c r="B392" s="14" t="s">
        <v>206</v>
      </c>
      <c r="C392" s="76"/>
      <c r="D392" s="73"/>
      <c r="E392" s="73"/>
      <c r="F392" s="84"/>
      <c r="G392" s="84"/>
      <c r="H392" s="84"/>
      <c r="I392" s="99"/>
      <c r="J392" s="99"/>
      <c r="K392" s="99"/>
    </row>
    <row r="393" spans="1:11" x14ac:dyDescent="0.25">
      <c r="A393" s="10">
        <v>59</v>
      </c>
      <c r="B393" s="14" t="s">
        <v>207</v>
      </c>
      <c r="C393" s="76"/>
      <c r="D393" s="73"/>
      <c r="E393" s="73"/>
      <c r="F393" s="84"/>
      <c r="G393" s="84"/>
      <c r="H393" s="84"/>
      <c r="I393" s="99"/>
      <c r="J393" s="99"/>
      <c r="K393" s="99"/>
    </row>
    <row r="394" spans="1:11" x14ac:dyDescent="0.25">
      <c r="A394" s="10">
        <v>60</v>
      </c>
      <c r="B394" s="14" t="s">
        <v>368</v>
      </c>
      <c r="C394" s="76"/>
      <c r="D394" s="73"/>
      <c r="E394" s="73"/>
      <c r="F394" s="84"/>
      <c r="G394" s="84"/>
      <c r="H394" s="84"/>
      <c r="I394" s="99"/>
      <c r="J394" s="99"/>
      <c r="K394" s="99"/>
    </row>
    <row r="395" spans="1:11" x14ac:dyDescent="0.25">
      <c r="A395" s="10">
        <v>61</v>
      </c>
      <c r="B395" s="14" t="s">
        <v>209</v>
      </c>
      <c r="C395" s="76"/>
      <c r="D395" s="73"/>
      <c r="E395" s="73"/>
      <c r="F395" s="84"/>
      <c r="G395" s="84"/>
      <c r="H395" s="84"/>
      <c r="I395" s="99"/>
      <c r="J395" s="99"/>
      <c r="K395" s="99"/>
    </row>
    <row r="396" spans="1:11" x14ac:dyDescent="0.25">
      <c r="A396" s="10"/>
      <c r="B396" s="14" t="s">
        <v>210</v>
      </c>
      <c r="C396" s="76"/>
      <c r="D396" s="73"/>
      <c r="E396" s="73"/>
      <c r="F396" s="84"/>
      <c r="G396" s="84"/>
      <c r="H396" s="84"/>
      <c r="I396" s="99"/>
      <c r="J396" s="99"/>
      <c r="K396" s="99"/>
    </row>
    <row r="397" spans="1:11" x14ac:dyDescent="0.25">
      <c r="A397" s="10">
        <v>62</v>
      </c>
      <c r="B397" s="14" t="s">
        <v>213</v>
      </c>
      <c r="C397" s="76"/>
      <c r="D397" s="73"/>
      <c r="E397" s="73"/>
      <c r="F397" s="84"/>
      <c r="G397" s="84"/>
      <c r="H397" s="84"/>
      <c r="I397" s="99"/>
      <c r="J397" s="99"/>
      <c r="K397" s="99"/>
    </row>
    <row r="398" spans="1:11" x14ac:dyDescent="0.25">
      <c r="A398" s="10">
        <v>63</v>
      </c>
      <c r="B398" s="49" t="s">
        <v>215</v>
      </c>
      <c r="C398" s="76"/>
      <c r="D398" s="73"/>
      <c r="E398" s="73"/>
      <c r="F398" s="84"/>
      <c r="G398" s="84"/>
      <c r="H398" s="84"/>
      <c r="I398" s="99"/>
      <c r="J398" s="99"/>
      <c r="K398" s="99"/>
    </row>
    <row r="399" spans="1:11" x14ac:dyDescent="0.25">
      <c r="A399" s="10"/>
      <c r="B399" s="49" t="s">
        <v>559</v>
      </c>
      <c r="C399" s="76"/>
      <c r="D399" s="73"/>
      <c r="E399" s="73"/>
      <c r="F399" s="84"/>
      <c r="G399" s="84"/>
      <c r="H399" s="84"/>
      <c r="I399" s="99"/>
      <c r="J399" s="99"/>
      <c r="K399" s="99"/>
    </row>
    <row r="400" spans="1:11" x14ac:dyDescent="0.25">
      <c r="A400" s="10">
        <v>64</v>
      </c>
      <c r="B400" s="49" t="s">
        <v>443</v>
      </c>
      <c r="C400" s="76"/>
      <c r="D400" s="73"/>
      <c r="E400" s="73"/>
      <c r="F400" s="84"/>
      <c r="G400" s="84"/>
      <c r="H400" s="84"/>
      <c r="I400" s="99"/>
      <c r="J400" s="99"/>
      <c r="K400" s="99"/>
    </row>
    <row r="401" spans="1:11" x14ac:dyDescent="0.25">
      <c r="A401" s="10"/>
      <c r="B401" s="49" t="s">
        <v>218</v>
      </c>
      <c r="C401" s="76"/>
      <c r="D401" s="73"/>
      <c r="E401" s="73"/>
      <c r="F401" s="84"/>
      <c r="G401" s="84"/>
      <c r="H401" s="84"/>
      <c r="I401" s="99"/>
      <c r="J401" s="99"/>
      <c r="K401" s="99"/>
    </row>
    <row r="402" spans="1:11" x14ac:dyDescent="0.25">
      <c r="A402" s="10"/>
      <c r="B402" s="49" t="s">
        <v>485</v>
      </c>
      <c r="C402" s="76"/>
      <c r="D402" s="73"/>
      <c r="E402" s="73"/>
      <c r="F402" s="84"/>
      <c r="G402" s="84"/>
      <c r="H402" s="84"/>
      <c r="I402" s="99"/>
      <c r="J402" s="99"/>
      <c r="K402" s="99"/>
    </row>
    <row r="403" spans="1:11" x14ac:dyDescent="0.25">
      <c r="A403" s="10"/>
      <c r="B403" s="49" t="s">
        <v>219</v>
      </c>
      <c r="C403" s="76"/>
      <c r="D403" s="73"/>
      <c r="E403" s="73"/>
      <c r="F403" s="84"/>
      <c r="G403" s="84"/>
      <c r="H403" s="84"/>
      <c r="I403" s="99"/>
      <c r="J403" s="99"/>
      <c r="K403" s="99"/>
    </row>
    <row r="404" spans="1:11" x14ac:dyDescent="0.25">
      <c r="A404" s="10">
        <v>65</v>
      </c>
      <c r="B404" s="49" t="s">
        <v>486</v>
      </c>
      <c r="C404" s="76"/>
      <c r="D404" s="73"/>
      <c r="E404" s="73"/>
      <c r="F404" s="84">
        <f>421</f>
        <v>421</v>
      </c>
      <c r="G404" s="84"/>
      <c r="H404" s="84"/>
      <c r="I404" s="99"/>
      <c r="J404" s="99"/>
      <c r="K404" s="99"/>
    </row>
    <row r="405" spans="1:11" x14ac:dyDescent="0.25">
      <c r="A405" s="10">
        <v>66</v>
      </c>
      <c r="B405" s="14" t="s">
        <v>444</v>
      </c>
      <c r="C405" s="76"/>
      <c r="D405" s="73"/>
      <c r="E405" s="73"/>
      <c r="F405" s="84"/>
      <c r="G405" s="84"/>
      <c r="H405" s="84"/>
      <c r="I405" s="99"/>
      <c r="J405" s="99"/>
      <c r="K405" s="99"/>
    </row>
    <row r="406" spans="1:11" x14ac:dyDescent="0.25">
      <c r="A406" s="10">
        <v>67</v>
      </c>
      <c r="B406" s="49" t="s">
        <v>445</v>
      </c>
      <c r="C406" s="76"/>
      <c r="D406" s="73"/>
      <c r="E406" s="73"/>
      <c r="F406" s="84"/>
      <c r="G406" s="84"/>
      <c r="H406" s="84"/>
      <c r="I406" s="100"/>
      <c r="J406" s="99"/>
      <c r="K406" s="99"/>
    </row>
    <row r="407" spans="1:11" x14ac:dyDescent="0.25">
      <c r="A407" s="10"/>
      <c r="B407" s="49" t="s">
        <v>487</v>
      </c>
      <c r="C407" s="76"/>
      <c r="D407" s="73"/>
      <c r="E407" s="73"/>
      <c r="F407" s="84"/>
      <c r="G407" s="84"/>
      <c r="H407" s="84"/>
      <c r="I407" s="100"/>
      <c r="J407" s="99"/>
      <c r="K407" s="99"/>
    </row>
    <row r="408" spans="1:11" x14ac:dyDescent="0.25">
      <c r="A408" s="10">
        <v>68</v>
      </c>
      <c r="B408" s="14" t="s">
        <v>446</v>
      </c>
      <c r="C408" s="76"/>
      <c r="D408" s="73"/>
      <c r="E408" s="73"/>
      <c r="F408" s="84"/>
      <c r="G408" s="84"/>
      <c r="H408" s="84"/>
      <c r="I408" s="99"/>
      <c r="J408" s="99"/>
      <c r="K408" s="99"/>
    </row>
    <row r="409" spans="1:11" x14ac:dyDescent="0.25">
      <c r="A409" s="10"/>
      <c r="B409" s="14" t="s">
        <v>228</v>
      </c>
      <c r="C409" s="76"/>
      <c r="D409" s="73"/>
      <c r="E409" s="73"/>
      <c r="F409" s="84"/>
      <c r="G409" s="84"/>
      <c r="H409" s="84"/>
      <c r="I409" s="99"/>
      <c r="J409" s="99"/>
      <c r="K409" s="99"/>
    </row>
    <row r="410" spans="1:11" x14ac:dyDescent="0.25">
      <c r="A410" s="10"/>
      <c r="B410" s="14" t="s">
        <v>372</v>
      </c>
      <c r="C410" s="76"/>
      <c r="D410" s="73"/>
      <c r="E410" s="73"/>
      <c r="F410" s="84"/>
      <c r="G410" s="84"/>
      <c r="H410" s="84"/>
      <c r="I410" s="99"/>
      <c r="J410" s="99"/>
      <c r="K410" s="99"/>
    </row>
    <row r="411" spans="1:11" x14ac:dyDescent="0.25">
      <c r="A411" s="10"/>
      <c r="B411" s="14" t="s">
        <v>488</v>
      </c>
      <c r="C411" s="76"/>
      <c r="D411" s="73"/>
      <c r="E411" s="73"/>
      <c r="F411" s="84"/>
      <c r="G411" s="84"/>
      <c r="H411" s="84"/>
      <c r="I411" s="99"/>
      <c r="J411" s="99"/>
      <c r="K411" s="99"/>
    </row>
    <row r="412" spans="1:11" x14ac:dyDescent="0.25">
      <c r="A412" s="10">
        <v>69</v>
      </c>
      <c r="B412" s="14" t="s">
        <v>231</v>
      </c>
      <c r="C412" s="76"/>
      <c r="D412" s="73"/>
      <c r="E412" s="73"/>
      <c r="F412" s="84"/>
      <c r="G412" s="84"/>
      <c r="H412" s="84"/>
      <c r="I412" s="99"/>
      <c r="J412" s="99"/>
      <c r="K412" s="99"/>
    </row>
    <row r="413" spans="1:11" x14ac:dyDescent="0.25">
      <c r="A413" s="10">
        <v>70</v>
      </c>
      <c r="B413" s="14" t="s">
        <v>233</v>
      </c>
      <c r="C413" s="76"/>
      <c r="D413" s="73"/>
      <c r="E413" s="73"/>
      <c r="F413" s="84"/>
      <c r="G413" s="84"/>
      <c r="H413" s="84"/>
      <c r="I413" s="99"/>
      <c r="J413" s="99"/>
      <c r="K413" s="99"/>
    </row>
    <row r="414" spans="1:11" x14ac:dyDescent="0.25">
      <c r="A414" s="10"/>
      <c r="B414" s="14" t="s">
        <v>229</v>
      </c>
      <c r="C414" s="76"/>
      <c r="D414" s="73"/>
      <c r="E414" s="73"/>
      <c r="F414" s="84"/>
      <c r="G414" s="84"/>
      <c r="H414" s="84"/>
      <c r="I414" s="99"/>
      <c r="J414" s="99"/>
      <c r="K414" s="99"/>
    </row>
    <row r="415" spans="1:11" x14ac:dyDescent="0.25">
      <c r="A415" s="10">
        <v>71</v>
      </c>
      <c r="B415" s="14" t="s">
        <v>235</v>
      </c>
      <c r="C415" s="76"/>
      <c r="D415" s="73"/>
      <c r="E415" s="73"/>
      <c r="F415" s="84"/>
      <c r="G415" s="84"/>
      <c r="H415" s="84"/>
      <c r="I415" s="99"/>
      <c r="J415" s="99"/>
      <c r="K415" s="99"/>
    </row>
    <row r="416" spans="1:11" x14ac:dyDescent="0.25">
      <c r="A416" s="10">
        <v>72</v>
      </c>
      <c r="B416" s="14" t="s">
        <v>237</v>
      </c>
      <c r="C416" s="76"/>
      <c r="D416" s="73"/>
      <c r="E416" s="73"/>
      <c r="F416" s="84"/>
      <c r="G416" s="84"/>
      <c r="H416" s="84"/>
      <c r="I416" s="99"/>
      <c r="J416" s="99"/>
      <c r="K416" s="99"/>
    </row>
    <row r="417" spans="1:11" x14ac:dyDescent="0.25">
      <c r="A417" s="10">
        <v>73</v>
      </c>
      <c r="B417" s="14" t="s">
        <v>239</v>
      </c>
      <c r="C417" s="76"/>
      <c r="D417" s="73"/>
      <c r="E417" s="73"/>
      <c r="F417" s="84"/>
      <c r="G417" s="84"/>
      <c r="H417" s="84"/>
      <c r="I417" s="99"/>
      <c r="J417" s="99"/>
      <c r="K417" s="99"/>
    </row>
    <row r="418" spans="1:11" x14ac:dyDescent="0.25">
      <c r="A418" s="10">
        <v>74</v>
      </c>
      <c r="B418" s="14" t="s">
        <v>243</v>
      </c>
      <c r="C418" s="76"/>
      <c r="D418" s="73"/>
      <c r="E418" s="73"/>
      <c r="F418" s="84"/>
      <c r="G418" s="84"/>
      <c r="H418" s="84"/>
      <c r="I418" s="99"/>
      <c r="J418" s="99"/>
      <c r="K418" s="99"/>
    </row>
    <row r="419" spans="1:11" x14ac:dyDescent="0.25">
      <c r="A419" s="10">
        <v>75</v>
      </c>
      <c r="B419" s="14" t="s">
        <v>447</v>
      </c>
      <c r="C419" s="76"/>
      <c r="D419" s="73"/>
      <c r="E419" s="73"/>
      <c r="F419" s="84"/>
      <c r="G419" s="84"/>
      <c r="H419" s="84"/>
      <c r="I419" s="99"/>
      <c r="J419" s="99"/>
      <c r="K419" s="99"/>
    </row>
    <row r="420" spans="1:11" x14ac:dyDescent="0.25">
      <c r="A420" s="10">
        <v>76</v>
      </c>
      <c r="B420" s="14" t="s">
        <v>375</v>
      </c>
      <c r="C420" s="76"/>
      <c r="D420" s="73"/>
      <c r="E420" s="73"/>
      <c r="F420" s="84"/>
      <c r="G420" s="84"/>
      <c r="H420" s="84"/>
      <c r="I420" s="99"/>
      <c r="J420" s="99"/>
      <c r="K420" s="99"/>
    </row>
    <row r="421" spans="1:11" x14ac:dyDescent="0.25">
      <c r="A421" s="10"/>
      <c r="B421" s="14" t="s">
        <v>587</v>
      </c>
      <c r="C421" s="76"/>
      <c r="D421" s="73"/>
      <c r="E421" s="73"/>
      <c r="F421" s="84"/>
      <c r="G421" s="84"/>
      <c r="H421" s="84"/>
      <c r="I421" s="99"/>
      <c r="J421" s="99"/>
      <c r="K421" s="99"/>
    </row>
    <row r="422" spans="1:11" x14ac:dyDescent="0.25">
      <c r="A422" s="10"/>
      <c r="B422" s="14" t="s">
        <v>376</v>
      </c>
      <c r="C422" s="76"/>
      <c r="D422" s="73"/>
      <c r="E422" s="73"/>
      <c r="F422" s="84"/>
      <c r="G422" s="84"/>
      <c r="H422" s="84"/>
      <c r="I422" s="99"/>
      <c r="J422" s="99"/>
      <c r="K422" s="99"/>
    </row>
    <row r="423" spans="1:11" x14ac:dyDescent="0.25">
      <c r="A423" s="10"/>
      <c r="B423" s="14" t="s">
        <v>377</v>
      </c>
      <c r="C423" s="76"/>
      <c r="D423" s="73"/>
      <c r="E423" s="73"/>
      <c r="F423" s="84"/>
      <c r="G423" s="84"/>
      <c r="H423" s="84"/>
      <c r="I423" s="99"/>
      <c r="J423" s="99"/>
      <c r="K423" s="99"/>
    </row>
    <row r="424" spans="1:11" x14ac:dyDescent="0.25">
      <c r="A424" s="10">
        <v>77</v>
      </c>
      <c r="B424" s="14" t="s">
        <v>378</v>
      </c>
      <c r="C424" s="76"/>
      <c r="D424" s="73"/>
      <c r="E424" s="73"/>
      <c r="F424" s="84"/>
      <c r="G424" s="84">
        <f>540</f>
        <v>540</v>
      </c>
      <c r="H424" s="84"/>
      <c r="I424" s="99"/>
      <c r="J424" s="99"/>
      <c r="K424" s="99"/>
    </row>
    <row r="425" spans="1:11" x14ac:dyDescent="0.25">
      <c r="A425" s="10">
        <v>78</v>
      </c>
      <c r="B425" s="14" t="s">
        <v>251</v>
      </c>
      <c r="C425" s="76"/>
      <c r="D425" s="73"/>
      <c r="E425" s="73"/>
      <c r="F425" s="84"/>
      <c r="G425" s="84"/>
      <c r="H425" s="84"/>
      <c r="I425" s="99"/>
      <c r="J425" s="99"/>
      <c r="K425" s="99"/>
    </row>
    <row r="426" spans="1:11" x14ac:dyDescent="0.25">
      <c r="A426" s="10">
        <v>79</v>
      </c>
      <c r="B426" s="14" t="s">
        <v>253</v>
      </c>
      <c r="C426" s="76"/>
      <c r="D426" s="73"/>
      <c r="E426" s="73"/>
      <c r="F426" s="84"/>
      <c r="G426" s="84"/>
      <c r="H426" s="84"/>
      <c r="I426" s="99"/>
      <c r="J426" s="99"/>
      <c r="K426" s="99"/>
    </row>
    <row r="427" spans="1:11" x14ac:dyDescent="0.25">
      <c r="A427" s="10"/>
      <c r="B427" s="14" t="s">
        <v>549</v>
      </c>
      <c r="C427" s="76"/>
      <c r="D427" s="73"/>
      <c r="E427" s="73"/>
      <c r="F427" s="84"/>
      <c r="G427" s="84"/>
      <c r="H427" s="84"/>
      <c r="I427" s="99"/>
      <c r="J427" s="99"/>
      <c r="K427" s="99"/>
    </row>
    <row r="428" spans="1:11" x14ac:dyDescent="0.25">
      <c r="A428" s="10">
        <v>80</v>
      </c>
      <c r="B428" s="14" t="s">
        <v>255</v>
      </c>
      <c r="C428" s="76"/>
      <c r="D428" s="73"/>
      <c r="E428" s="73"/>
      <c r="F428" s="84"/>
      <c r="G428" s="84"/>
      <c r="H428" s="84"/>
      <c r="I428" s="99"/>
      <c r="J428" s="99"/>
      <c r="K428" s="99"/>
    </row>
    <row r="429" spans="1:11" x14ac:dyDescent="0.25">
      <c r="A429" s="10">
        <v>81</v>
      </c>
      <c r="B429" s="14" t="s">
        <v>489</v>
      </c>
      <c r="C429" s="76"/>
      <c r="D429" s="73"/>
      <c r="E429" s="73"/>
      <c r="F429" s="84"/>
      <c r="G429" s="84"/>
      <c r="H429" s="84"/>
      <c r="I429" s="99"/>
      <c r="J429" s="99"/>
      <c r="K429" s="99"/>
    </row>
    <row r="430" spans="1:11" x14ac:dyDescent="0.25">
      <c r="A430" s="10"/>
      <c r="B430" s="14" t="s">
        <v>573</v>
      </c>
      <c r="C430" s="76"/>
      <c r="D430" s="73"/>
      <c r="E430" s="73"/>
      <c r="F430" s="84"/>
      <c r="G430" s="84"/>
      <c r="H430" s="84"/>
      <c r="I430" s="99"/>
      <c r="J430" s="99"/>
      <c r="K430" s="99"/>
    </row>
    <row r="431" spans="1:11" x14ac:dyDescent="0.25">
      <c r="A431" s="10"/>
      <c r="B431" s="14" t="s">
        <v>257</v>
      </c>
      <c r="C431" s="76"/>
      <c r="D431" s="73"/>
      <c r="E431" s="73"/>
      <c r="F431" s="84"/>
      <c r="G431" s="84"/>
      <c r="H431" s="84"/>
      <c r="I431" s="99"/>
      <c r="J431" s="99"/>
      <c r="K431" s="99"/>
    </row>
    <row r="432" spans="1:11" x14ac:dyDescent="0.25">
      <c r="A432" s="10">
        <v>82</v>
      </c>
      <c r="B432" s="14" t="s">
        <v>260</v>
      </c>
      <c r="C432" s="76"/>
      <c r="D432" s="73"/>
      <c r="E432" s="73"/>
      <c r="F432" s="84"/>
      <c r="G432" s="84"/>
      <c r="H432" s="84"/>
      <c r="I432" s="99"/>
      <c r="J432" s="99"/>
      <c r="K432" s="99"/>
    </row>
    <row r="433" spans="1:11" x14ac:dyDescent="0.25">
      <c r="A433" s="10"/>
      <c r="B433" s="14" t="s">
        <v>261</v>
      </c>
      <c r="C433" s="76"/>
      <c r="D433" s="73"/>
      <c r="E433" s="73"/>
      <c r="F433" s="84"/>
      <c r="G433" s="84"/>
      <c r="H433" s="84"/>
      <c r="I433" s="99"/>
      <c r="J433" s="99"/>
      <c r="K433" s="99"/>
    </row>
    <row r="434" spans="1:11" x14ac:dyDescent="0.25">
      <c r="A434" s="10">
        <v>83</v>
      </c>
      <c r="B434" s="14" t="s">
        <v>258</v>
      </c>
      <c r="C434" s="76"/>
      <c r="D434" s="73"/>
      <c r="E434" s="73"/>
      <c r="F434" s="84"/>
      <c r="G434" s="84"/>
      <c r="H434" s="84"/>
      <c r="I434" s="99"/>
      <c r="J434" s="99"/>
      <c r="K434" s="99"/>
    </row>
    <row r="435" spans="1:11" x14ac:dyDescent="0.25">
      <c r="A435" s="10">
        <v>84</v>
      </c>
      <c r="B435" s="14" t="s">
        <v>262</v>
      </c>
      <c r="C435" s="76"/>
      <c r="D435" s="73"/>
      <c r="E435" s="73"/>
      <c r="F435" s="84"/>
      <c r="G435" s="84"/>
      <c r="H435" s="84"/>
      <c r="I435" s="99"/>
      <c r="J435" s="99"/>
      <c r="K435" s="99"/>
    </row>
    <row r="436" spans="1:11" x14ac:dyDescent="0.25">
      <c r="A436" s="10">
        <v>85</v>
      </c>
      <c r="B436" s="14" t="s">
        <v>490</v>
      </c>
      <c r="C436" s="76"/>
      <c r="D436" s="73"/>
      <c r="E436" s="73"/>
      <c r="F436" s="84"/>
      <c r="G436" s="84"/>
      <c r="H436" s="84"/>
      <c r="I436" s="99"/>
      <c r="J436" s="99"/>
      <c r="K436" s="99"/>
    </row>
    <row r="437" spans="1:11" x14ac:dyDescent="0.25">
      <c r="A437" s="10">
        <v>86</v>
      </c>
      <c r="B437" s="14" t="s">
        <v>264</v>
      </c>
      <c r="C437" s="76"/>
      <c r="D437" s="73"/>
      <c r="E437" s="73"/>
      <c r="F437" s="84"/>
      <c r="G437" s="84"/>
      <c r="H437" s="84"/>
      <c r="I437" s="99"/>
      <c r="J437" s="99">
        <f>212</f>
        <v>212</v>
      </c>
      <c r="K437" s="99"/>
    </row>
    <row r="438" spans="1:11" x14ac:dyDescent="0.25">
      <c r="A438" s="10">
        <v>87</v>
      </c>
      <c r="B438" s="14" t="s">
        <v>491</v>
      </c>
      <c r="C438" s="76"/>
      <c r="D438" s="73"/>
      <c r="E438" s="73"/>
      <c r="F438" s="84"/>
      <c r="G438" s="84"/>
      <c r="H438" s="84"/>
      <c r="I438" s="99"/>
      <c r="J438" s="99"/>
      <c r="K438" s="99"/>
    </row>
    <row r="439" spans="1:11" x14ac:dyDescent="0.25">
      <c r="A439" s="10">
        <v>88</v>
      </c>
      <c r="B439" s="14" t="s">
        <v>267</v>
      </c>
      <c r="C439" s="76"/>
      <c r="D439" s="73"/>
      <c r="E439" s="73"/>
      <c r="F439" s="84"/>
      <c r="G439" s="84"/>
      <c r="H439" s="84"/>
      <c r="I439" s="99"/>
      <c r="J439" s="99"/>
      <c r="K439" s="99"/>
    </row>
    <row r="440" spans="1:11" x14ac:dyDescent="0.25">
      <c r="A440" s="10">
        <v>89</v>
      </c>
      <c r="B440" s="14" t="s">
        <v>271</v>
      </c>
      <c r="C440" s="76"/>
      <c r="D440" s="73"/>
      <c r="E440" s="73"/>
      <c r="F440" s="84"/>
      <c r="G440" s="84"/>
      <c r="H440" s="84"/>
      <c r="I440" s="99"/>
      <c r="J440" s="99"/>
      <c r="K440" s="99"/>
    </row>
    <row r="441" spans="1:11" x14ac:dyDescent="0.25">
      <c r="A441" s="10">
        <v>90</v>
      </c>
      <c r="B441" s="14" t="s">
        <v>449</v>
      </c>
      <c r="C441" s="76"/>
      <c r="D441" s="73"/>
      <c r="E441" s="73"/>
      <c r="F441" s="84"/>
      <c r="G441" s="84"/>
      <c r="H441" s="84"/>
      <c r="I441" s="99"/>
      <c r="J441" s="99"/>
      <c r="K441" s="99"/>
    </row>
    <row r="442" spans="1:11" x14ac:dyDescent="0.25">
      <c r="A442" s="10"/>
      <c r="B442" s="14" t="s">
        <v>272</v>
      </c>
      <c r="C442" s="76"/>
      <c r="D442" s="73"/>
      <c r="E442" s="73"/>
      <c r="F442" s="84"/>
      <c r="G442" s="84"/>
      <c r="H442" s="84"/>
      <c r="I442" s="99"/>
      <c r="J442" s="99"/>
      <c r="K442" s="99"/>
    </row>
    <row r="443" spans="1:11" x14ac:dyDescent="0.25">
      <c r="A443" s="10"/>
      <c r="B443" s="14" t="s">
        <v>492</v>
      </c>
      <c r="C443" s="76"/>
      <c r="D443" s="73"/>
      <c r="E443" s="73"/>
      <c r="F443" s="84"/>
      <c r="G443" s="84"/>
      <c r="H443" s="84"/>
      <c r="I443" s="99"/>
      <c r="J443" s="99"/>
      <c r="K443" s="99"/>
    </row>
    <row r="444" spans="1:11" x14ac:dyDescent="0.25">
      <c r="A444" s="10"/>
      <c r="B444" s="14" t="s">
        <v>277</v>
      </c>
      <c r="C444" s="76"/>
      <c r="D444" s="73"/>
      <c r="E444" s="73"/>
      <c r="F444" s="84"/>
      <c r="G444" s="84"/>
      <c r="H444" s="84"/>
      <c r="I444" s="99"/>
      <c r="J444" s="99"/>
      <c r="K444" s="99"/>
    </row>
    <row r="445" spans="1:11" x14ac:dyDescent="0.25">
      <c r="A445" s="10">
        <v>91</v>
      </c>
      <c r="B445" s="14" t="s">
        <v>274</v>
      </c>
      <c r="C445" s="76"/>
      <c r="D445" s="73"/>
      <c r="E445" s="73"/>
      <c r="F445" s="84"/>
      <c r="G445" s="84"/>
      <c r="H445" s="84"/>
      <c r="I445" s="99"/>
      <c r="J445" s="99"/>
      <c r="K445" s="99"/>
    </row>
    <row r="446" spans="1:11" x14ac:dyDescent="0.25">
      <c r="A446" s="10">
        <v>92</v>
      </c>
      <c r="B446" s="14" t="s">
        <v>276</v>
      </c>
      <c r="C446" s="76"/>
      <c r="D446" s="73"/>
      <c r="E446" s="73"/>
      <c r="F446" s="84"/>
      <c r="G446" s="84"/>
      <c r="H446" s="84"/>
      <c r="I446" s="99"/>
      <c r="J446" s="99"/>
      <c r="K446" s="99"/>
    </row>
    <row r="447" spans="1:11" x14ac:dyDescent="0.25">
      <c r="A447" s="10">
        <v>93</v>
      </c>
      <c r="B447" s="14" t="s">
        <v>493</v>
      </c>
      <c r="C447" s="76"/>
      <c r="D447" s="73"/>
      <c r="E447" s="73"/>
      <c r="F447" s="84"/>
      <c r="G447" s="84"/>
      <c r="H447" s="84"/>
      <c r="I447" s="99"/>
      <c r="J447" s="99"/>
      <c r="K447" s="99"/>
    </row>
    <row r="448" spans="1:11" x14ac:dyDescent="0.25">
      <c r="A448" s="10"/>
      <c r="B448" s="14" t="s">
        <v>282</v>
      </c>
      <c r="C448" s="76"/>
      <c r="D448" s="73"/>
      <c r="E448" s="73"/>
      <c r="F448" s="84"/>
      <c r="G448" s="84"/>
      <c r="H448" s="84"/>
      <c r="I448" s="99"/>
      <c r="J448" s="99"/>
      <c r="K448" s="99"/>
    </row>
    <row r="449" spans="1:11" x14ac:dyDescent="0.25">
      <c r="A449" s="10">
        <v>94</v>
      </c>
      <c r="B449" s="14" t="s">
        <v>283</v>
      </c>
      <c r="C449" s="76"/>
      <c r="D449" s="73"/>
      <c r="E449" s="73"/>
      <c r="F449" s="84"/>
      <c r="G449" s="84"/>
      <c r="H449" s="84"/>
      <c r="I449" s="99"/>
      <c r="J449" s="99"/>
      <c r="K449" s="99"/>
    </row>
    <row r="450" spans="1:11" x14ac:dyDescent="0.25">
      <c r="A450" s="10">
        <v>95</v>
      </c>
      <c r="B450" s="14" t="s">
        <v>384</v>
      </c>
      <c r="C450" s="76"/>
      <c r="D450" s="73"/>
      <c r="E450" s="73"/>
      <c r="F450" s="84"/>
      <c r="G450" s="84"/>
      <c r="H450" s="84"/>
      <c r="I450" s="99"/>
      <c r="J450" s="99"/>
      <c r="K450" s="99"/>
    </row>
    <row r="451" spans="1:11" x14ac:dyDescent="0.25">
      <c r="A451" s="10">
        <v>96</v>
      </c>
      <c r="B451" s="14" t="s">
        <v>286</v>
      </c>
      <c r="C451" s="76"/>
      <c r="D451" s="73"/>
      <c r="E451" s="73"/>
      <c r="F451" s="84"/>
      <c r="G451" s="84"/>
      <c r="H451" s="84"/>
      <c r="I451" s="99"/>
      <c r="J451" s="99"/>
      <c r="K451" s="99"/>
    </row>
    <row r="452" spans="1:11" x14ac:dyDescent="0.25">
      <c r="A452" s="10">
        <v>97</v>
      </c>
      <c r="B452" s="14" t="s">
        <v>284</v>
      </c>
      <c r="C452" s="76"/>
      <c r="D452" s="73"/>
      <c r="E452" s="73"/>
      <c r="F452" s="84"/>
      <c r="G452" s="84"/>
      <c r="H452" s="84"/>
      <c r="I452" s="99"/>
      <c r="J452" s="99"/>
      <c r="K452" s="99"/>
    </row>
    <row r="453" spans="1:11" x14ac:dyDescent="0.25">
      <c r="A453" s="10"/>
      <c r="B453" s="14" t="s">
        <v>287</v>
      </c>
      <c r="C453" s="76"/>
      <c r="D453" s="73"/>
      <c r="E453" s="73"/>
      <c r="F453" s="84"/>
      <c r="G453" s="84"/>
      <c r="H453" s="84"/>
      <c r="I453" s="99"/>
      <c r="J453" s="99"/>
      <c r="K453" s="99"/>
    </row>
    <row r="454" spans="1:11" x14ac:dyDescent="0.25">
      <c r="A454" s="10">
        <v>98</v>
      </c>
      <c r="B454" s="14" t="s">
        <v>289</v>
      </c>
      <c r="C454" s="76"/>
      <c r="D454" s="73"/>
      <c r="E454" s="73"/>
      <c r="F454" s="84"/>
      <c r="G454" s="84"/>
      <c r="H454" s="84"/>
      <c r="I454" s="99"/>
      <c r="J454" s="99"/>
      <c r="K454" s="99"/>
    </row>
    <row r="455" spans="1:11" x14ac:dyDescent="0.25">
      <c r="A455" s="10"/>
      <c r="B455" s="14" t="s">
        <v>602</v>
      </c>
      <c r="C455" s="76"/>
      <c r="D455" s="73"/>
      <c r="E455" s="73"/>
      <c r="F455" s="84"/>
      <c r="G455" s="84"/>
      <c r="H455" s="84"/>
      <c r="I455" s="99"/>
      <c r="J455" s="99"/>
      <c r="K455" s="99"/>
    </row>
    <row r="456" spans="1:11" x14ac:dyDescent="0.25">
      <c r="A456" s="10">
        <v>99</v>
      </c>
      <c r="B456" s="14" t="s">
        <v>291</v>
      </c>
      <c r="C456" s="76"/>
      <c r="D456" s="73"/>
      <c r="E456" s="73"/>
      <c r="F456" s="84"/>
      <c r="G456" s="84"/>
      <c r="H456" s="84"/>
      <c r="I456" s="99"/>
      <c r="J456" s="99"/>
      <c r="K456" s="99"/>
    </row>
    <row r="457" spans="1:11" x14ac:dyDescent="0.25">
      <c r="A457" s="10"/>
      <c r="B457" s="14" t="s">
        <v>386</v>
      </c>
      <c r="C457" s="76"/>
      <c r="D457" s="73"/>
      <c r="E457" s="73"/>
      <c r="F457" s="84"/>
      <c r="G457" s="84"/>
      <c r="H457" s="84"/>
      <c r="I457" s="99"/>
      <c r="J457" s="99"/>
      <c r="K457" s="99"/>
    </row>
    <row r="458" spans="1:11" x14ac:dyDescent="0.25">
      <c r="A458" s="10">
        <v>100</v>
      </c>
      <c r="B458" s="14" t="s">
        <v>293</v>
      </c>
      <c r="C458" s="76"/>
      <c r="D458" s="73"/>
      <c r="E458" s="73"/>
      <c r="F458" s="84"/>
      <c r="G458" s="84"/>
      <c r="H458" s="84"/>
      <c r="I458" s="99"/>
      <c r="J458" s="99"/>
      <c r="K458" s="99"/>
    </row>
    <row r="459" spans="1:11" x14ac:dyDescent="0.25">
      <c r="A459" s="10">
        <v>101</v>
      </c>
      <c r="B459" s="14" t="s">
        <v>450</v>
      </c>
      <c r="C459" s="76"/>
      <c r="D459" s="73"/>
      <c r="E459" s="73"/>
      <c r="F459" s="84"/>
      <c r="G459" s="84"/>
      <c r="H459" s="84"/>
      <c r="I459" s="99"/>
      <c r="J459" s="99"/>
      <c r="K459" s="99"/>
    </row>
    <row r="460" spans="1:11" x14ac:dyDescent="0.25">
      <c r="A460" s="10">
        <v>102</v>
      </c>
      <c r="B460" s="14" t="s">
        <v>494</v>
      </c>
      <c r="C460" s="76"/>
      <c r="D460" s="73"/>
      <c r="E460" s="73"/>
      <c r="F460" s="84"/>
      <c r="G460" s="84"/>
      <c r="H460" s="84"/>
      <c r="I460" s="99"/>
      <c r="J460" s="99"/>
      <c r="K460" s="99"/>
    </row>
    <row r="461" spans="1:11" x14ac:dyDescent="0.25">
      <c r="A461" s="10"/>
      <c r="B461" s="14" t="s">
        <v>295</v>
      </c>
      <c r="C461" s="76"/>
      <c r="D461" s="73"/>
      <c r="E461" s="73"/>
      <c r="F461" s="84"/>
      <c r="G461" s="84"/>
      <c r="H461" s="84"/>
      <c r="I461" s="99"/>
      <c r="J461" s="99"/>
      <c r="K461" s="99"/>
    </row>
    <row r="462" spans="1:11" x14ac:dyDescent="0.25">
      <c r="A462" s="10"/>
      <c r="B462" s="14" t="s">
        <v>296</v>
      </c>
      <c r="C462" s="76"/>
      <c r="D462" s="73"/>
      <c r="E462" s="73"/>
      <c r="F462" s="84"/>
      <c r="G462" s="84"/>
      <c r="H462" s="84"/>
      <c r="I462" s="99"/>
      <c r="J462" s="99"/>
      <c r="K462" s="99"/>
    </row>
    <row r="463" spans="1:11" x14ac:dyDescent="0.25">
      <c r="A463" s="10"/>
      <c r="B463" s="14" t="s">
        <v>297</v>
      </c>
      <c r="C463" s="76"/>
      <c r="D463" s="73"/>
      <c r="E463" s="73"/>
      <c r="F463" s="84"/>
      <c r="G463" s="84"/>
      <c r="H463" s="84"/>
      <c r="I463" s="99"/>
      <c r="J463" s="99"/>
      <c r="K463" s="99"/>
    </row>
    <row r="464" spans="1:11" x14ac:dyDescent="0.25">
      <c r="A464" s="10">
        <v>103</v>
      </c>
      <c r="B464" s="14" t="s">
        <v>388</v>
      </c>
      <c r="C464" s="76"/>
      <c r="D464" s="73"/>
      <c r="E464" s="73"/>
      <c r="F464" s="84"/>
      <c r="G464" s="84"/>
      <c r="H464" s="84"/>
      <c r="I464" s="99"/>
      <c r="J464" s="99"/>
      <c r="K464" s="99"/>
    </row>
    <row r="465" spans="1:11" x14ac:dyDescent="0.25">
      <c r="A465" s="10">
        <v>104</v>
      </c>
      <c r="B465" s="14" t="s">
        <v>453</v>
      </c>
      <c r="C465" s="76"/>
      <c r="D465" s="73"/>
      <c r="E465" s="73"/>
      <c r="F465" s="84"/>
      <c r="G465" s="84"/>
      <c r="H465" s="84"/>
      <c r="I465" s="99"/>
      <c r="J465" s="99"/>
      <c r="K465" s="99"/>
    </row>
    <row r="466" spans="1:11" x14ac:dyDescent="0.25">
      <c r="A466" s="10"/>
      <c r="B466" s="14" t="s">
        <v>389</v>
      </c>
      <c r="C466" s="76"/>
      <c r="D466" s="73"/>
      <c r="E466" s="73"/>
      <c r="F466" s="84"/>
      <c r="G466" s="84"/>
      <c r="H466" s="84"/>
      <c r="I466" s="99"/>
      <c r="J466" s="99"/>
      <c r="K466" s="99"/>
    </row>
    <row r="467" spans="1:11" x14ac:dyDescent="0.25">
      <c r="A467" s="10">
        <v>105</v>
      </c>
      <c r="B467" s="14" t="s">
        <v>303</v>
      </c>
      <c r="C467" s="76"/>
      <c r="D467" s="73"/>
      <c r="E467" s="73"/>
      <c r="F467" s="84"/>
      <c r="G467" s="84"/>
      <c r="H467" s="84"/>
      <c r="I467" s="99"/>
      <c r="J467" s="99"/>
      <c r="K467" s="99"/>
    </row>
    <row r="468" spans="1:11" x14ac:dyDescent="0.25">
      <c r="A468" s="10"/>
      <c r="B468" s="14" t="s">
        <v>390</v>
      </c>
      <c r="C468" s="76"/>
      <c r="D468" s="73"/>
      <c r="E468" s="73"/>
      <c r="F468" s="84"/>
      <c r="G468" s="84"/>
      <c r="H468" s="84"/>
      <c r="I468" s="99"/>
      <c r="J468" s="99"/>
      <c r="K468" s="99"/>
    </row>
    <row r="469" spans="1:11" x14ac:dyDescent="0.25">
      <c r="A469" s="10"/>
      <c r="B469" s="14" t="s">
        <v>304</v>
      </c>
      <c r="C469" s="76"/>
      <c r="D469" s="73"/>
      <c r="E469" s="73"/>
      <c r="F469" s="84"/>
      <c r="G469" s="84"/>
      <c r="H469" s="84"/>
      <c r="I469" s="99"/>
      <c r="J469" s="99"/>
      <c r="K469" s="99"/>
    </row>
    <row r="470" spans="1:11" x14ac:dyDescent="0.25">
      <c r="A470" s="10">
        <v>106</v>
      </c>
      <c r="B470" s="14" t="s">
        <v>306</v>
      </c>
      <c r="C470" s="76"/>
      <c r="D470" s="73"/>
      <c r="E470" s="73"/>
      <c r="F470" s="84"/>
      <c r="G470" s="84"/>
      <c r="H470" s="84"/>
      <c r="I470" s="99"/>
      <c r="J470" s="99"/>
      <c r="K470" s="99"/>
    </row>
    <row r="471" spans="1:11" x14ac:dyDescent="0.25">
      <c r="A471" s="10">
        <v>108</v>
      </c>
      <c r="B471" s="14" t="s">
        <v>309</v>
      </c>
      <c r="C471" s="76"/>
      <c r="D471" s="73"/>
      <c r="E471" s="73"/>
      <c r="F471" s="84"/>
      <c r="G471" s="84"/>
      <c r="H471" s="84"/>
      <c r="I471" s="99"/>
      <c r="J471" s="99"/>
      <c r="K471" s="99"/>
    </row>
    <row r="472" spans="1:11" x14ac:dyDescent="0.25">
      <c r="A472" s="10"/>
      <c r="B472" s="14" t="s">
        <v>588</v>
      </c>
      <c r="C472" s="76"/>
      <c r="D472" s="73"/>
      <c r="E472" s="73"/>
      <c r="F472" s="84"/>
      <c r="G472" s="84"/>
      <c r="H472" s="84"/>
      <c r="I472" s="99"/>
      <c r="J472" s="99"/>
      <c r="K472" s="99"/>
    </row>
    <row r="473" spans="1:11" x14ac:dyDescent="0.25">
      <c r="A473" s="10"/>
      <c r="B473" s="14" t="s">
        <v>391</v>
      </c>
      <c r="C473" s="76"/>
      <c r="D473" s="73"/>
      <c r="E473" s="73"/>
      <c r="F473" s="84"/>
      <c r="G473" s="84"/>
      <c r="H473" s="84"/>
      <c r="I473" s="99"/>
      <c r="J473" s="99"/>
      <c r="K473" s="99"/>
    </row>
    <row r="474" spans="1:11" x14ac:dyDescent="0.25">
      <c r="A474" s="10"/>
      <c r="B474" s="14" t="s">
        <v>313</v>
      </c>
      <c r="C474" s="76"/>
      <c r="D474" s="73"/>
      <c r="E474" s="73"/>
      <c r="F474" s="84"/>
      <c r="G474" s="84"/>
      <c r="H474" s="84"/>
      <c r="I474" s="99"/>
      <c r="J474" s="99"/>
      <c r="K474" s="99"/>
    </row>
    <row r="475" spans="1:11" x14ac:dyDescent="0.25">
      <c r="A475" s="10"/>
      <c r="B475" s="14" t="s">
        <v>316</v>
      </c>
      <c r="C475" s="76"/>
      <c r="D475" s="73"/>
      <c r="E475" s="73"/>
      <c r="F475" s="84"/>
      <c r="G475" s="84"/>
      <c r="H475" s="84"/>
      <c r="I475" s="99"/>
      <c r="J475" s="99"/>
      <c r="K475" s="99"/>
    </row>
    <row r="476" spans="1:11" x14ac:dyDescent="0.25">
      <c r="A476" s="10"/>
      <c r="B476" s="14" t="s">
        <v>314</v>
      </c>
      <c r="C476" s="76"/>
      <c r="D476" s="73"/>
      <c r="E476" s="73"/>
      <c r="F476" s="84"/>
      <c r="G476" s="84"/>
      <c r="H476" s="84"/>
      <c r="I476" s="99"/>
      <c r="J476" s="99"/>
      <c r="K476" s="99"/>
    </row>
    <row r="477" spans="1:11" x14ac:dyDescent="0.25">
      <c r="A477" s="10">
        <v>109</v>
      </c>
      <c r="B477" s="14" t="s">
        <v>318</v>
      </c>
      <c r="C477" s="76"/>
      <c r="D477" s="73"/>
      <c r="E477" s="73"/>
      <c r="F477" s="84"/>
      <c r="G477" s="84"/>
      <c r="H477" s="84"/>
      <c r="I477" s="99"/>
      <c r="J477" s="99"/>
      <c r="K477" s="99"/>
    </row>
    <row r="478" spans="1:11" x14ac:dyDescent="0.25">
      <c r="A478" s="10">
        <v>110</v>
      </c>
      <c r="B478" s="59" t="s">
        <v>495</v>
      </c>
      <c r="C478" s="76"/>
      <c r="D478" s="73"/>
      <c r="E478" s="73"/>
      <c r="F478" s="84"/>
      <c r="G478" s="84"/>
      <c r="H478" s="84"/>
      <c r="I478" s="99"/>
      <c r="J478" s="99"/>
      <c r="K478" s="99"/>
    </row>
    <row r="479" spans="1:11" x14ac:dyDescent="0.25">
      <c r="A479" s="10">
        <v>111</v>
      </c>
      <c r="B479" s="14" t="s">
        <v>320</v>
      </c>
      <c r="C479" s="76"/>
      <c r="D479" s="73"/>
      <c r="E479" s="73"/>
      <c r="F479" s="84"/>
      <c r="G479" s="84"/>
      <c r="H479" s="84"/>
      <c r="I479" s="99"/>
      <c r="J479" s="99"/>
      <c r="K479" s="99"/>
    </row>
    <row r="480" spans="1:11" x14ac:dyDescent="0.25">
      <c r="A480" s="10"/>
      <c r="B480" s="14" t="s">
        <v>321</v>
      </c>
      <c r="C480" s="76"/>
      <c r="D480" s="73"/>
      <c r="E480" s="73"/>
      <c r="F480" s="84"/>
      <c r="G480" s="84"/>
      <c r="H480" s="84"/>
      <c r="I480" s="99"/>
      <c r="J480" s="99"/>
      <c r="K480" s="99"/>
    </row>
    <row r="481" spans="1:11" x14ac:dyDescent="0.25">
      <c r="A481" s="10">
        <v>112</v>
      </c>
      <c r="B481" s="14" t="s">
        <v>323</v>
      </c>
      <c r="C481" s="76"/>
      <c r="D481" s="73"/>
      <c r="E481" s="73"/>
      <c r="F481" s="84"/>
      <c r="G481" s="84"/>
      <c r="H481" s="84"/>
      <c r="I481" s="99"/>
      <c r="J481" s="99"/>
      <c r="K481" s="99"/>
    </row>
    <row r="482" spans="1:11" x14ac:dyDescent="0.25">
      <c r="A482" s="10">
        <v>113</v>
      </c>
      <c r="B482" s="14" t="s">
        <v>455</v>
      </c>
      <c r="C482" s="76"/>
      <c r="D482" s="73"/>
      <c r="E482" s="73"/>
      <c r="F482" s="84"/>
      <c r="G482" s="84"/>
      <c r="H482" s="84"/>
      <c r="I482" s="99"/>
      <c r="J482" s="99"/>
      <c r="K482" s="99"/>
    </row>
    <row r="483" spans="1:11" x14ac:dyDescent="0.25">
      <c r="A483" s="10">
        <v>114</v>
      </c>
      <c r="B483" s="14" t="s">
        <v>327</v>
      </c>
      <c r="C483" s="77"/>
      <c r="D483" s="73"/>
      <c r="E483" s="73"/>
      <c r="F483" s="84">
        <f>62*14+98*14</f>
        <v>2240</v>
      </c>
      <c r="G483" s="84"/>
      <c r="H483" s="84"/>
      <c r="I483" s="99"/>
      <c r="J483" s="99"/>
      <c r="K483" s="99"/>
    </row>
    <row r="484" spans="1:11" x14ac:dyDescent="0.25">
      <c r="A484" s="10">
        <v>115</v>
      </c>
      <c r="B484" s="14" t="s">
        <v>329</v>
      </c>
      <c r="C484" s="76"/>
      <c r="D484" s="73"/>
      <c r="E484" s="73"/>
      <c r="F484" s="84"/>
      <c r="G484" s="84"/>
      <c r="H484" s="84"/>
      <c r="I484" s="99"/>
      <c r="J484" s="99"/>
      <c r="K484" s="99"/>
    </row>
    <row r="485" spans="1:11" x14ac:dyDescent="0.25">
      <c r="A485" s="10">
        <v>116</v>
      </c>
      <c r="B485" s="14" t="s">
        <v>496</v>
      </c>
      <c r="C485" s="76"/>
      <c r="D485" s="73"/>
      <c r="E485" s="73"/>
      <c r="F485" s="84"/>
      <c r="G485" s="84"/>
      <c r="H485" s="84"/>
      <c r="I485" s="99"/>
      <c r="J485" s="99"/>
      <c r="K485" s="99"/>
    </row>
    <row r="486" spans="1:11" x14ac:dyDescent="0.25">
      <c r="A486" s="10"/>
      <c r="B486" s="14" t="s">
        <v>456</v>
      </c>
      <c r="C486" s="76"/>
      <c r="D486" s="73"/>
      <c r="E486" s="73"/>
      <c r="F486" s="84"/>
      <c r="G486" s="84"/>
      <c r="H486" s="84"/>
      <c r="I486" s="99"/>
      <c r="J486" s="99"/>
      <c r="K486" s="99"/>
    </row>
    <row r="487" spans="1:11" x14ac:dyDescent="0.25">
      <c r="A487" s="10">
        <v>117</v>
      </c>
      <c r="B487" s="14" t="s">
        <v>333</v>
      </c>
      <c r="C487" s="76"/>
      <c r="D487" s="73"/>
      <c r="E487" s="73"/>
      <c r="F487" s="84">
        <f>704</f>
        <v>704</v>
      </c>
      <c r="G487" s="84"/>
      <c r="H487" s="84"/>
      <c r="I487" s="99"/>
      <c r="J487" s="99"/>
      <c r="K487" s="99"/>
    </row>
    <row r="488" spans="1:11" x14ac:dyDescent="0.25">
      <c r="A488" s="10">
        <v>118</v>
      </c>
      <c r="B488" s="14" t="s">
        <v>401</v>
      </c>
      <c r="C488" s="76"/>
      <c r="D488" s="73"/>
      <c r="E488" s="73"/>
      <c r="F488" s="84"/>
      <c r="G488" s="84"/>
      <c r="H488" s="84"/>
      <c r="I488" s="99"/>
      <c r="J488" s="99"/>
      <c r="K488" s="99"/>
    </row>
    <row r="489" spans="1:11" x14ac:dyDescent="0.25">
      <c r="A489" s="10"/>
      <c r="B489" s="14" t="s">
        <v>403</v>
      </c>
      <c r="C489" s="76"/>
      <c r="D489" s="73"/>
      <c r="E489" s="73"/>
      <c r="F489" s="84"/>
      <c r="G489" s="84"/>
      <c r="H489" s="84"/>
      <c r="I489" s="99"/>
      <c r="J489" s="99"/>
      <c r="K489" s="99"/>
    </row>
    <row r="490" spans="1:11" x14ac:dyDescent="0.25">
      <c r="A490" s="10"/>
      <c r="B490" s="14" t="s">
        <v>337</v>
      </c>
      <c r="C490" s="76"/>
      <c r="D490" s="73"/>
      <c r="E490" s="73"/>
      <c r="F490" s="84"/>
      <c r="G490" s="84"/>
      <c r="H490" s="84"/>
      <c r="I490" s="99"/>
      <c r="J490" s="99"/>
      <c r="K490" s="99"/>
    </row>
    <row r="491" spans="1:11" x14ac:dyDescent="0.25">
      <c r="A491" s="10">
        <v>119</v>
      </c>
      <c r="B491" s="14" t="s">
        <v>339</v>
      </c>
      <c r="C491" s="76"/>
      <c r="D491" s="73"/>
      <c r="E491" s="73"/>
      <c r="F491" s="84"/>
      <c r="G491" s="84"/>
      <c r="H491" s="84"/>
      <c r="I491" s="99"/>
      <c r="J491" s="99"/>
      <c r="K491" s="99"/>
    </row>
    <row r="492" spans="1:11" x14ac:dyDescent="0.25">
      <c r="A492" s="10">
        <v>120</v>
      </c>
      <c r="B492" s="14" t="s">
        <v>335</v>
      </c>
      <c r="C492" s="76"/>
      <c r="D492" s="73"/>
      <c r="E492" s="73"/>
      <c r="F492" s="84"/>
      <c r="G492" s="84"/>
      <c r="H492" s="84"/>
      <c r="I492" s="99"/>
      <c r="J492" s="99"/>
      <c r="K492" s="99"/>
    </row>
    <row r="493" spans="1:11" ht="19.5" thickBot="1" x14ac:dyDescent="0.3">
      <c r="A493" s="10">
        <v>121</v>
      </c>
      <c r="B493" s="50" t="s">
        <v>336</v>
      </c>
      <c r="C493" s="80"/>
      <c r="D493" s="81"/>
      <c r="E493" s="81"/>
      <c r="F493" s="86"/>
      <c r="G493" s="86"/>
      <c r="H493" s="86"/>
      <c r="I493" s="99"/>
      <c r="J493" s="99"/>
      <c r="K493" s="99"/>
    </row>
    <row r="494" spans="1:11" ht="19.5" thickBot="1" x14ac:dyDescent="0.3">
      <c r="A494" s="10">
        <v>122</v>
      </c>
      <c r="B494" s="271" t="s">
        <v>460</v>
      </c>
      <c r="C494" s="48">
        <f t="shared" ref="C494:K494" si="0">SUM(C307:C493)</f>
        <v>1008</v>
      </c>
      <c r="D494" s="48">
        <f t="shared" si="0"/>
        <v>0</v>
      </c>
      <c r="E494" s="48"/>
      <c r="F494" s="48">
        <f t="shared" si="0"/>
        <v>3769</v>
      </c>
      <c r="G494" s="48">
        <f>SUM(G307:G493)</f>
        <v>540</v>
      </c>
      <c r="H494" s="48">
        <f t="shared" si="0"/>
        <v>0</v>
      </c>
      <c r="I494" s="48">
        <f t="shared" si="0"/>
        <v>1000</v>
      </c>
      <c r="J494" s="48">
        <f>SUM(J307:J493)</f>
        <v>212</v>
      </c>
      <c r="K494" s="48">
        <f t="shared" si="0"/>
        <v>0</v>
      </c>
    </row>
    <row r="495" spans="1:11" x14ac:dyDescent="0.25">
      <c r="A495" s="37"/>
      <c r="B495" s="272"/>
      <c r="C495" s="93"/>
      <c r="D495" s="93"/>
      <c r="E495" s="93"/>
      <c r="F495" s="93"/>
      <c r="G495" s="93"/>
      <c r="H495" s="93"/>
    </row>
    <row r="496" spans="1:11" x14ac:dyDescent="0.25">
      <c r="A496" s="41"/>
      <c r="B496" s="19" t="s">
        <v>497</v>
      </c>
      <c r="C496" s="277"/>
      <c r="D496" s="277"/>
      <c r="E496" s="193"/>
    </row>
    <row r="497" spans="1:33" x14ac:dyDescent="0.25">
      <c r="B497" s="19" t="s">
        <v>498</v>
      </c>
      <c r="C497" s="19" cm="1">
        <f t="array" ref="C497">SUM(G307:G493+D307:D493+I307:I493)</f>
        <v>1540</v>
      </c>
    </row>
    <row r="498" spans="1:33" x14ac:dyDescent="0.25">
      <c r="B498" s="106" t="s">
        <v>499</v>
      </c>
      <c r="C498" s="207" cm="1">
        <f t="array" ref="C498">SUM(F307:F493+C307:C493)</f>
        <v>4777</v>
      </c>
      <c r="D498"/>
      <c r="E498"/>
      <c r="F498"/>
      <c r="G498"/>
      <c r="H498"/>
    </row>
    <row r="499" spans="1:33" x14ac:dyDescent="0.25">
      <c r="A499"/>
      <c r="B499" s="19" t="s">
        <v>572</v>
      </c>
      <c r="C499" s="19" cm="1">
        <f t="array" ref="C499">SUM(J307:J493+K307:K493+H307:H493+E307:E493)</f>
        <v>212</v>
      </c>
    </row>
    <row r="504" spans="1:33" x14ac:dyDescent="0.25">
      <c r="W504"/>
      <c r="X504"/>
      <c r="Y504"/>
      <c r="Z504"/>
      <c r="AA504"/>
      <c r="AB504"/>
      <c r="AC504"/>
      <c r="AD504"/>
      <c r="AE504"/>
      <c r="AF504"/>
      <c r="AG504"/>
    </row>
    <row r="505" spans="1:33" x14ac:dyDescent="0.25">
      <c r="W505"/>
      <c r="X505"/>
      <c r="Y505"/>
      <c r="Z505"/>
      <c r="AA505"/>
      <c r="AB505"/>
      <c r="AC505"/>
      <c r="AD505"/>
      <c r="AE505"/>
      <c r="AF505"/>
      <c r="AG505"/>
    </row>
  </sheetData>
  <mergeCells count="11">
    <mergeCell ref="B494:B495"/>
    <mergeCell ref="C304:D304"/>
    <mergeCell ref="C496:D496"/>
    <mergeCell ref="I305:K305"/>
    <mergeCell ref="F305:H305"/>
    <mergeCell ref="C305:E305"/>
    <mergeCell ref="C193:D193"/>
    <mergeCell ref="C194:D194"/>
    <mergeCell ref="C195:D195"/>
    <mergeCell ref="B302:B303"/>
    <mergeCell ref="C303:D303"/>
  </mergeCells>
  <phoneticPr fontId="29" type="noConversion"/>
  <pageMargins left="0.7" right="0.60416666666666663" top="0.75" bottom="0.75" header="0.3" footer="0.3"/>
  <pageSetup paperSize="9" orientation="portrait" horizontalDpi="4294967293" r:id="rId1"/>
  <headerFooter>
    <oddHeader>&amp;C&amp;"-,מודגש"&amp;16שתילת יחורים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1"/>
  <sheetViews>
    <sheetView rightToLeft="1" topLeftCell="A106" workbookViewId="0">
      <selection activeCell="E13" sqref="E13"/>
    </sheetView>
  </sheetViews>
  <sheetFormatPr defaultRowHeight="15" x14ac:dyDescent="0.25"/>
  <cols>
    <col min="1" max="1" width="18.140625" customWidth="1"/>
  </cols>
  <sheetData>
    <row r="1" spans="1:3" x14ac:dyDescent="0.25">
      <c r="A1" s="1" t="s">
        <v>500</v>
      </c>
      <c r="B1" s="1"/>
    </row>
    <row r="2" spans="1:3" x14ac:dyDescent="0.25">
      <c r="A2" s="1" t="s">
        <v>501</v>
      </c>
      <c r="B2" s="1" t="s">
        <v>502</v>
      </c>
      <c r="C2" t="s">
        <v>503</v>
      </c>
    </row>
    <row r="3" spans="1:3" x14ac:dyDescent="0.25">
      <c r="A3" t="s">
        <v>375</v>
      </c>
      <c r="B3">
        <v>3</v>
      </c>
      <c r="C3">
        <v>120</v>
      </c>
    </row>
    <row r="4" spans="1:3" x14ac:dyDescent="0.25">
      <c r="A4" t="s">
        <v>427</v>
      </c>
      <c r="B4">
        <v>3</v>
      </c>
      <c r="C4">
        <v>100</v>
      </c>
    </row>
    <row r="5" spans="1:3" x14ac:dyDescent="0.25">
      <c r="A5" t="s">
        <v>301</v>
      </c>
      <c r="B5">
        <v>3</v>
      </c>
      <c r="C5">
        <v>50</v>
      </c>
    </row>
    <row r="6" spans="1:3" x14ac:dyDescent="0.25">
      <c r="A6" t="s">
        <v>133</v>
      </c>
      <c r="B6">
        <v>3</v>
      </c>
      <c r="C6">
        <v>20</v>
      </c>
    </row>
    <row r="7" spans="1:3" x14ac:dyDescent="0.25">
      <c r="A7" s="1" t="s">
        <v>504</v>
      </c>
    </row>
    <row r="8" spans="1:3" x14ac:dyDescent="0.25">
      <c r="A8" s="1" t="s">
        <v>505</v>
      </c>
    </row>
    <row r="9" spans="1:3" x14ac:dyDescent="0.25">
      <c r="A9" t="s">
        <v>301</v>
      </c>
      <c r="B9">
        <v>4</v>
      </c>
      <c r="C9">
        <v>22</v>
      </c>
    </row>
    <row r="10" spans="1:3" x14ac:dyDescent="0.25">
      <c r="A10" t="s">
        <v>138</v>
      </c>
      <c r="B10">
        <v>4</v>
      </c>
      <c r="C10">
        <v>9</v>
      </c>
    </row>
    <row r="11" spans="1:3" x14ac:dyDescent="0.25">
      <c r="A11" t="s">
        <v>427</v>
      </c>
      <c r="B11">
        <v>4</v>
      </c>
      <c r="C11">
        <v>10</v>
      </c>
    </row>
    <row r="12" spans="1:3" x14ac:dyDescent="0.25">
      <c r="A12" s="1">
        <v>17.5</v>
      </c>
    </row>
    <row r="13" spans="1:3" x14ac:dyDescent="0.25">
      <c r="A13" t="s">
        <v>97</v>
      </c>
      <c r="B13">
        <v>4</v>
      </c>
      <c r="C13">
        <v>10</v>
      </c>
    </row>
    <row r="14" spans="1:3" x14ac:dyDescent="0.25">
      <c r="A14" t="s">
        <v>506</v>
      </c>
      <c r="B14">
        <v>3</v>
      </c>
      <c r="C14">
        <v>20</v>
      </c>
    </row>
    <row r="15" spans="1:3" x14ac:dyDescent="0.25">
      <c r="A15" t="s">
        <v>321</v>
      </c>
      <c r="B15">
        <v>3</v>
      </c>
      <c r="C15">
        <v>20</v>
      </c>
    </row>
    <row r="16" spans="1:3" x14ac:dyDescent="0.25">
      <c r="A16" s="1" t="s">
        <v>507</v>
      </c>
    </row>
    <row r="17" spans="1:3" x14ac:dyDescent="0.25">
      <c r="A17" t="s">
        <v>408</v>
      </c>
      <c r="B17">
        <v>3</v>
      </c>
      <c r="C17">
        <v>20</v>
      </c>
    </row>
    <row r="18" spans="1:3" x14ac:dyDescent="0.25">
      <c r="A18" t="s">
        <v>508</v>
      </c>
      <c r="B18">
        <v>3</v>
      </c>
      <c r="C18">
        <v>20</v>
      </c>
    </row>
    <row r="19" spans="1:3" x14ac:dyDescent="0.25">
      <c r="A19" t="s">
        <v>348</v>
      </c>
      <c r="B19">
        <v>3</v>
      </c>
      <c r="C19">
        <v>20</v>
      </c>
    </row>
    <row r="20" spans="1:3" x14ac:dyDescent="0.25">
      <c r="A20" t="s">
        <v>99</v>
      </c>
      <c r="B20">
        <v>4</v>
      </c>
      <c r="C20">
        <v>21</v>
      </c>
    </row>
    <row r="21" spans="1:3" x14ac:dyDescent="0.25">
      <c r="A21" s="1">
        <v>24.5</v>
      </c>
    </row>
    <row r="22" spans="1:3" x14ac:dyDescent="0.25">
      <c r="A22" t="s">
        <v>99</v>
      </c>
      <c r="B22">
        <v>3</v>
      </c>
      <c r="C22">
        <v>108</v>
      </c>
    </row>
    <row r="23" spans="1:3" x14ac:dyDescent="0.25">
      <c r="A23" t="s">
        <v>509</v>
      </c>
      <c r="B23">
        <v>3</v>
      </c>
      <c r="C23">
        <v>76</v>
      </c>
    </row>
    <row r="24" spans="1:3" x14ac:dyDescent="0.25">
      <c r="A24" s="1" t="s">
        <v>510</v>
      </c>
      <c r="B24">
        <v>3</v>
      </c>
      <c r="C24">
        <v>40</v>
      </c>
    </row>
    <row r="25" spans="1:3" x14ac:dyDescent="0.25">
      <c r="A25" t="s">
        <v>411</v>
      </c>
      <c r="B25">
        <v>3</v>
      </c>
      <c r="C25">
        <v>36</v>
      </c>
    </row>
    <row r="26" spans="1:3" x14ac:dyDescent="0.25">
      <c r="A26" t="s">
        <v>511</v>
      </c>
    </row>
    <row r="27" spans="1:3" x14ac:dyDescent="0.25">
      <c r="A27" s="1" t="s">
        <v>418</v>
      </c>
      <c r="B27">
        <v>3</v>
      </c>
      <c r="C27">
        <v>204</v>
      </c>
    </row>
    <row r="28" spans="1:3" x14ac:dyDescent="0.25">
      <c r="A28" t="s">
        <v>135</v>
      </c>
      <c r="B28">
        <v>4</v>
      </c>
      <c r="C28">
        <v>55</v>
      </c>
    </row>
    <row r="29" spans="1:3" x14ac:dyDescent="0.25">
      <c r="A29" t="s">
        <v>168</v>
      </c>
      <c r="B29">
        <v>4</v>
      </c>
      <c r="C29">
        <v>2</v>
      </c>
    </row>
    <row r="30" spans="1:3" x14ac:dyDescent="0.25">
      <c r="A30" t="s">
        <v>409</v>
      </c>
      <c r="B30">
        <v>4</v>
      </c>
      <c r="C30">
        <v>20</v>
      </c>
    </row>
    <row r="31" spans="1:3" x14ac:dyDescent="0.25">
      <c r="A31" t="s">
        <v>512</v>
      </c>
      <c r="B31">
        <v>4</v>
      </c>
      <c r="C31">
        <v>1</v>
      </c>
    </row>
    <row r="32" spans="1:3" x14ac:dyDescent="0.25">
      <c r="A32" t="s">
        <v>513</v>
      </c>
      <c r="B32">
        <v>4</v>
      </c>
      <c r="C32">
        <v>1</v>
      </c>
    </row>
    <row r="33" spans="1:4" x14ac:dyDescent="0.25">
      <c r="A33" t="s">
        <v>416</v>
      </c>
      <c r="B33">
        <v>3</v>
      </c>
      <c r="C33">
        <v>50</v>
      </c>
    </row>
    <row r="34" spans="1:4" x14ac:dyDescent="0.25">
      <c r="A34">
        <v>25.6</v>
      </c>
    </row>
    <row r="35" spans="1:4" x14ac:dyDescent="0.25">
      <c r="A35" t="s">
        <v>183</v>
      </c>
      <c r="B35">
        <v>4</v>
      </c>
      <c r="C35">
        <v>7</v>
      </c>
    </row>
    <row r="36" spans="1:4" x14ac:dyDescent="0.25">
      <c r="A36" t="s">
        <v>514</v>
      </c>
    </row>
    <row r="37" spans="1:4" x14ac:dyDescent="0.25">
      <c r="A37" t="s">
        <v>515</v>
      </c>
      <c r="B37">
        <v>4</v>
      </c>
      <c r="C37">
        <v>5</v>
      </c>
    </row>
    <row r="38" spans="1:4" x14ac:dyDescent="0.25">
      <c r="A38" t="s">
        <v>267</v>
      </c>
      <c r="B38">
        <v>4</v>
      </c>
      <c r="C38">
        <v>10</v>
      </c>
    </row>
    <row r="39" spans="1:4" x14ac:dyDescent="0.25">
      <c r="A39" t="s">
        <v>418</v>
      </c>
      <c r="B39">
        <v>4</v>
      </c>
      <c r="C39">
        <v>4</v>
      </c>
    </row>
    <row r="40" spans="1:4" x14ac:dyDescent="0.25">
      <c r="A40" t="s">
        <v>516</v>
      </c>
      <c r="B40">
        <v>4</v>
      </c>
      <c r="C40">
        <v>20</v>
      </c>
    </row>
    <row r="41" spans="1:4" x14ac:dyDescent="0.25">
      <c r="A41" t="s">
        <v>166</v>
      </c>
      <c r="B41">
        <v>3</v>
      </c>
      <c r="C41">
        <v>20</v>
      </c>
    </row>
    <row r="42" spans="1:4" x14ac:dyDescent="0.25">
      <c r="A42" t="s">
        <v>513</v>
      </c>
      <c r="B42">
        <v>3</v>
      </c>
      <c r="C42">
        <v>20</v>
      </c>
    </row>
    <row r="43" spans="1:4" x14ac:dyDescent="0.25">
      <c r="A43" t="s">
        <v>517</v>
      </c>
    </row>
    <row r="44" spans="1:4" x14ac:dyDescent="0.25">
      <c r="A44" t="s">
        <v>411</v>
      </c>
      <c r="B44">
        <v>4</v>
      </c>
      <c r="C44">
        <v>25</v>
      </c>
      <c r="D44" t="s">
        <v>518</v>
      </c>
    </row>
    <row r="45" spans="1:4" x14ac:dyDescent="0.25">
      <c r="A45" t="s">
        <v>106</v>
      </c>
      <c r="B45">
        <v>3</v>
      </c>
      <c r="C45">
        <v>13</v>
      </c>
    </row>
    <row r="46" spans="1:4" x14ac:dyDescent="0.25">
      <c r="A46" t="s">
        <v>149</v>
      </c>
      <c r="B46">
        <v>3</v>
      </c>
      <c r="C46">
        <v>14</v>
      </c>
      <c r="D46" t="s">
        <v>519</v>
      </c>
    </row>
    <row r="47" spans="1:4" x14ac:dyDescent="0.25">
      <c r="A47" t="s">
        <v>520</v>
      </c>
      <c r="B47">
        <v>3</v>
      </c>
      <c r="C47">
        <v>288</v>
      </c>
      <c r="D47" t="s">
        <v>519</v>
      </c>
    </row>
    <row r="48" spans="1:4" x14ac:dyDescent="0.25">
      <c r="A48">
        <v>30.7</v>
      </c>
    </row>
    <row r="49" spans="1:3" x14ac:dyDescent="0.25">
      <c r="A49" t="s">
        <v>138</v>
      </c>
      <c r="B49">
        <v>3</v>
      </c>
      <c r="C49">
        <v>70</v>
      </c>
    </row>
    <row r="50" spans="1:3" x14ac:dyDescent="0.25">
      <c r="A50" t="s">
        <v>486</v>
      </c>
      <c r="B50">
        <v>3</v>
      </c>
      <c r="C50">
        <v>100</v>
      </c>
    </row>
    <row r="51" spans="1:3" x14ac:dyDescent="0.25">
      <c r="A51">
        <v>9.8000000000000007</v>
      </c>
    </row>
    <row r="52" spans="1:3" x14ac:dyDescent="0.25">
      <c r="A52" t="s">
        <v>412</v>
      </c>
      <c r="B52">
        <v>3</v>
      </c>
      <c r="C52">
        <v>30</v>
      </c>
    </row>
    <row r="53" spans="1:3" x14ac:dyDescent="0.25">
      <c r="A53" t="s">
        <v>521</v>
      </c>
      <c r="B53">
        <v>3</v>
      </c>
      <c r="C53">
        <v>20</v>
      </c>
    </row>
    <row r="54" spans="1:3" x14ac:dyDescent="0.25">
      <c r="A54" t="s">
        <v>257</v>
      </c>
      <c r="B54">
        <v>3</v>
      </c>
      <c r="C54">
        <v>240</v>
      </c>
    </row>
    <row r="55" spans="1:3" x14ac:dyDescent="0.25">
      <c r="A55" t="s">
        <v>168</v>
      </c>
      <c r="B55">
        <v>3</v>
      </c>
      <c r="C55">
        <v>213</v>
      </c>
    </row>
    <row r="56" spans="1:3" x14ac:dyDescent="0.25">
      <c r="A56" t="s">
        <v>427</v>
      </c>
      <c r="B56">
        <v>4</v>
      </c>
      <c r="C56">
        <v>100</v>
      </c>
    </row>
    <row r="57" spans="1:3" x14ac:dyDescent="0.25">
      <c r="A57" t="s">
        <v>522</v>
      </c>
    </row>
    <row r="58" spans="1:3" x14ac:dyDescent="0.25">
      <c r="A58" t="s">
        <v>445</v>
      </c>
      <c r="B58">
        <v>3</v>
      </c>
      <c r="C58">
        <v>20</v>
      </c>
    </row>
    <row r="59" spans="1:3" x14ac:dyDescent="0.25">
      <c r="A59" t="s">
        <v>523</v>
      </c>
      <c r="B59">
        <v>3</v>
      </c>
      <c r="C59">
        <v>40</v>
      </c>
    </row>
    <row r="60" spans="1:3" x14ac:dyDescent="0.25">
      <c r="A60">
        <v>14.9</v>
      </c>
    </row>
    <row r="61" spans="1:3" x14ac:dyDescent="0.25">
      <c r="A61" t="s">
        <v>402</v>
      </c>
      <c r="B61">
        <v>4</v>
      </c>
      <c r="C61">
        <v>10</v>
      </c>
    </row>
    <row r="62" spans="1:3" x14ac:dyDescent="0.25">
      <c r="A62" t="s">
        <v>524</v>
      </c>
      <c r="B62">
        <v>4</v>
      </c>
      <c r="C62">
        <v>20</v>
      </c>
    </row>
    <row r="63" spans="1:3" x14ac:dyDescent="0.25">
      <c r="A63" t="s">
        <v>525</v>
      </c>
      <c r="B63">
        <v>3</v>
      </c>
      <c r="C63">
        <v>20</v>
      </c>
    </row>
    <row r="64" spans="1:3" x14ac:dyDescent="0.25">
      <c r="A64" t="s">
        <v>526</v>
      </c>
      <c r="B64">
        <v>3</v>
      </c>
      <c r="C64">
        <v>20</v>
      </c>
    </row>
    <row r="65" spans="1:3" x14ac:dyDescent="0.25">
      <c r="A65">
        <v>18.899999999999999</v>
      </c>
    </row>
    <row r="66" spans="1:3" x14ac:dyDescent="0.25">
      <c r="A66" t="s">
        <v>138</v>
      </c>
      <c r="B66">
        <v>4</v>
      </c>
      <c r="C66">
        <v>51</v>
      </c>
    </row>
    <row r="67" spans="1:3" x14ac:dyDescent="0.25">
      <c r="A67" s="5">
        <v>22.1</v>
      </c>
    </row>
    <row r="68" spans="1:3" x14ac:dyDescent="0.25">
      <c r="A68" t="s">
        <v>527</v>
      </c>
      <c r="B68">
        <v>4</v>
      </c>
      <c r="C68">
        <v>150</v>
      </c>
    </row>
    <row r="69" spans="1:3" x14ac:dyDescent="0.25">
      <c r="A69" t="s">
        <v>407</v>
      </c>
      <c r="B69">
        <v>3</v>
      </c>
      <c r="C69">
        <v>60</v>
      </c>
    </row>
    <row r="70" spans="1:3" x14ac:dyDescent="0.25">
      <c r="A70" s="5">
        <v>8.11</v>
      </c>
    </row>
    <row r="71" spans="1:3" x14ac:dyDescent="0.25">
      <c r="A71" t="s">
        <v>124</v>
      </c>
      <c r="B71">
        <v>3</v>
      </c>
      <c r="C71">
        <v>110</v>
      </c>
    </row>
    <row r="72" spans="1:3" x14ac:dyDescent="0.25">
      <c r="A72" t="s">
        <v>416</v>
      </c>
      <c r="B72">
        <v>3</v>
      </c>
      <c r="C72">
        <v>200</v>
      </c>
    </row>
    <row r="73" spans="1:3" x14ac:dyDescent="0.25">
      <c r="A73" t="s">
        <v>516</v>
      </c>
      <c r="B73">
        <v>3</v>
      </c>
      <c r="C73">
        <v>80</v>
      </c>
    </row>
    <row r="74" spans="1:3" x14ac:dyDescent="0.25">
      <c r="A74" t="s">
        <v>203</v>
      </c>
      <c r="B74">
        <v>3</v>
      </c>
      <c r="C74">
        <v>80</v>
      </c>
    </row>
    <row r="75" spans="1:3" x14ac:dyDescent="0.25">
      <c r="A75" t="s">
        <v>267</v>
      </c>
      <c r="B75">
        <v>4</v>
      </c>
      <c r="C75">
        <v>120</v>
      </c>
    </row>
    <row r="76" spans="1:3" x14ac:dyDescent="0.25">
      <c r="A76" t="s">
        <v>528</v>
      </c>
      <c r="B76">
        <v>4</v>
      </c>
      <c r="C76">
        <v>104</v>
      </c>
    </row>
    <row r="77" spans="1:3" x14ac:dyDescent="0.25">
      <c r="A77" s="4">
        <v>43059</v>
      </c>
    </row>
    <row r="78" spans="1:3" x14ac:dyDescent="0.25">
      <c r="A78" t="s">
        <v>437</v>
      </c>
      <c r="B78">
        <v>3</v>
      </c>
      <c r="C78">
        <v>160</v>
      </c>
    </row>
    <row r="79" spans="1:3" x14ac:dyDescent="0.25">
      <c r="A79" t="s">
        <v>509</v>
      </c>
      <c r="B79">
        <v>3</v>
      </c>
      <c r="C79">
        <v>40</v>
      </c>
    </row>
    <row r="80" spans="1:3" x14ac:dyDescent="0.25">
      <c r="A80" t="s">
        <v>509</v>
      </c>
      <c r="B80">
        <v>4</v>
      </c>
      <c r="C80">
        <v>16</v>
      </c>
    </row>
    <row r="81" spans="1:3" x14ac:dyDescent="0.25">
      <c r="A81" t="s">
        <v>445</v>
      </c>
      <c r="B81">
        <v>4</v>
      </c>
      <c r="C81">
        <v>25</v>
      </c>
    </row>
    <row r="82" spans="1:3" x14ac:dyDescent="0.25">
      <c r="A82" s="4">
        <v>43060</v>
      </c>
    </row>
    <row r="83" spans="1:3" x14ac:dyDescent="0.25">
      <c r="A83" t="s">
        <v>524</v>
      </c>
      <c r="B83">
        <v>4</v>
      </c>
      <c r="C83">
        <v>40</v>
      </c>
    </row>
    <row r="84" spans="1:3" x14ac:dyDescent="0.25">
      <c r="A84" t="s">
        <v>166</v>
      </c>
      <c r="B84">
        <v>4</v>
      </c>
      <c r="C84">
        <v>40</v>
      </c>
    </row>
    <row r="85" spans="1:3" x14ac:dyDescent="0.25">
      <c r="A85" t="s">
        <v>529</v>
      </c>
      <c r="B85">
        <v>3</v>
      </c>
      <c r="C85">
        <v>1500</v>
      </c>
    </row>
    <row r="86" spans="1:3" x14ac:dyDescent="0.25">
      <c r="A86" t="s">
        <v>421</v>
      </c>
      <c r="B86">
        <v>3</v>
      </c>
      <c r="C86">
        <v>56</v>
      </c>
    </row>
    <row r="87" spans="1:3" x14ac:dyDescent="0.25">
      <c r="A87" s="4">
        <v>43065</v>
      </c>
    </row>
    <row r="88" spans="1:3" x14ac:dyDescent="0.25">
      <c r="A88" t="s">
        <v>528</v>
      </c>
      <c r="B88">
        <v>4</v>
      </c>
      <c r="C88">
        <v>20</v>
      </c>
    </row>
    <row r="89" spans="1:3" x14ac:dyDescent="0.25">
      <c r="A89" t="s">
        <v>239</v>
      </c>
      <c r="B89">
        <v>4</v>
      </c>
      <c r="C89">
        <v>220</v>
      </c>
    </row>
    <row r="90" spans="1:3" x14ac:dyDescent="0.25">
      <c r="A90" t="s">
        <v>512</v>
      </c>
      <c r="B90">
        <v>4</v>
      </c>
      <c r="C90">
        <v>160</v>
      </c>
    </row>
    <row r="91" spans="1:3" x14ac:dyDescent="0.25">
      <c r="A91" t="s">
        <v>530</v>
      </c>
      <c r="B91">
        <v>3</v>
      </c>
      <c r="C91">
        <v>10</v>
      </c>
    </row>
    <row r="92" spans="1:3" x14ac:dyDescent="0.25">
      <c r="A92" t="s">
        <v>408</v>
      </c>
      <c r="B92">
        <v>3</v>
      </c>
      <c r="C92">
        <v>20</v>
      </c>
    </row>
    <row r="93" spans="1:3" x14ac:dyDescent="0.25">
      <c r="A93" t="s">
        <v>456</v>
      </c>
      <c r="B93">
        <v>4</v>
      </c>
      <c r="C93">
        <v>180</v>
      </c>
    </row>
    <row r="94" spans="1:3" x14ac:dyDescent="0.25">
      <c r="A94" t="s">
        <v>327</v>
      </c>
      <c r="B94">
        <v>3</v>
      </c>
      <c r="C94">
        <v>120</v>
      </c>
    </row>
    <row r="95" spans="1:3" x14ac:dyDescent="0.25">
      <c r="A95" s="2">
        <v>43072</v>
      </c>
    </row>
    <row r="96" spans="1:3" x14ac:dyDescent="0.25">
      <c r="A96" t="s">
        <v>327</v>
      </c>
      <c r="B96">
        <v>3</v>
      </c>
      <c r="C96">
        <v>340</v>
      </c>
    </row>
    <row r="97" spans="1:3" x14ac:dyDescent="0.25">
      <c r="A97" t="s">
        <v>531</v>
      </c>
      <c r="B97">
        <v>3</v>
      </c>
      <c r="C97">
        <v>400</v>
      </c>
    </row>
    <row r="98" spans="1:3" x14ac:dyDescent="0.25">
      <c r="A98" t="s">
        <v>427</v>
      </c>
      <c r="B98">
        <v>3</v>
      </c>
      <c r="C98">
        <v>100</v>
      </c>
    </row>
    <row r="99" spans="1:3" x14ac:dyDescent="0.25">
      <c r="A99" t="s">
        <v>414</v>
      </c>
      <c r="B99">
        <v>3</v>
      </c>
      <c r="C99">
        <v>120</v>
      </c>
    </row>
    <row r="100" spans="1:3" x14ac:dyDescent="0.25">
      <c r="A100" t="s">
        <v>532</v>
      </c>
      <c r="B100">
        <v>3</v>
      </c>
      <c r="C100">
        <v>250</v>
      </c>
    </row>
    <row r="101" spans="1:3" x14ac:dyDescent="0.25">
      <c r="A101" t="s">
        <v>135</v>
      </c>
      <c r="B101">
        <v>3</v>
      </c>
      <c r="C101">
        <v>66</v>
      </c>
    </row>
    <row r="102" spans="1:3" x14ac:dyDescent="0.25">
      <c r="A102" t="s">
        <v>336</v>
      </c>
      <c r="B102">
        <v>4</v>
      </c>
      <c r="C102">
        <v>8</v>
      </c>
    </row>
    <row r="103" spans="1:3" x14ac:dyDescent="0.25">
      <c r="A103" s="3">
        <v>43082</v>
      </c>
    </row>
    <row r="104" spans="1:3" x14ac:dyDescent="0.25">
      <c r="A104" t="s">
        <v>533</v>
      </c>
      <c r="B104">
        <v>4</v>
      </c>
      <c r="C104">
        <v>12</v>
      </c>
    </row>
    <row r="105" spans="1:3" x14ac:dyDescent="0.25">
      <c r="A105" t="s">
        <v>427</v>
      </c>
      <c r="B105">
        <v>3</v>
      </c>
      <c r="C105">
        <v>73</v>
      </c>
    </row>
    <row r="107" spans="1:3" x14ac:dyDescent="0.25">
      <c r="A107" s="3">
        <v>43082</v>
      </c>
    </row>
    <row r="108" spans="1:3" x14ac:dyDescent="0.25">
      <c r="A108" t="s">
        <v>515</v>
      </c>
      <c r="B108">
        <v>4</v>
      </c>
      <c r="C108">
        <v>60</v>
      </c>
    </row>
    <row r="109" spans="1:3" x14ac:dyDescent="0.25">
      <c r="A109" s="3">
        <v>43089</v>
      </c>
    </row>
    <row r="110" spans="1:3" x14ac:dyDescent="0.25">
      <c r="A110" t="s">
        <v>93</v>
      </c>
      <c r="B110">
        <v>4</v>
      </c>
      <c r="C110">
        <v>25</v>
      </c>
    </row>
    <row r="111" spans="1:3" x14ac:dyDescent="0.25">
      <c r="A111" t="s">
        <v>515</v>
      </c>
      <c r="B111">
        <v>4</v>
      </c>
      <c r="C111">
        <v>80</v>
      </c>
    </row>
    <row r="112" spans="1:3" x14ac:dyDescent="0.25">
      <c r="A112" t="s">
        <v>534</v>
      </c>
      <c r="B112">
        <v>4</v>
      </c>
      <c r="C112">
        <v>24</v>
      </c>
    </row>
    <row r="113" spans="1:3" x14ac:dyDescent="0.25">
      <c r="A113" s="6">
        <v>43103</v>
      </c>
    </row>
    <row r="114" spans="1:3" x14ac:dyDescent="0.25">
      <c r="A114" t="s">
        <v>406</v>
      </c>
      <c r="B114">
        <v>4</v>
      </c>
      <c r="C114">
        <v>600</v>
      </c>
    </row>
    <row r="115" spans="1:3" x14ac:dyDescent="0.25">
      <c r="A115" t="s">
        <v>529</v>
      </c>
      <c r="B115">
        <v>3</v>
      </c>
      <c r="C115">
        <v>100</v>
      </c>
    </row>
    <row r="116" spans="1:3" x14ac:dyDescent="0.25">
      <c r="A116" s="43">
        <v>43160</v>
      </c>
    </row>
    <row r="117" spans="1:3" x14ac:dyDescent="0.25">
      <c r="A117" t="s">
        <v>535</v>
      </c>
      <c r="B117">
        <v>4</v>
      </c>
      <c r="C117">
        <v>160</v>
      </c>
    </row>
    <row r="118" spans="1:3" x14ac:dyDescent="0.25">
      <c r="A118" t="s">
        <v>183</v>
      </c>
      <c r="B118">
        <v>3</v>
      </c>
      <c r="C118">
        <v>100</v>
      </c>
    </row>
    <row r="119" spans="1:3" x14ac:dyDescent="0.25">
      <c r="A119" t="s">
        <v>536</v>
      </c>
      <c r="B119">
        <v>3</v>
      </c>
      <c r="C119">
        <v>50</v>
      </c>
    </row>
    <row r="121" spans="1:3" x14ac:dyDescent="0.25">
      <c r="A121" s="44">
        <v>43191</v>
      </c>
    </row>
  </sheetData>
  <pageMargins left="0.7" right="0.7" top="0.75" bottom="0.75" header="0.3" footer="0.3"/>
  <pageSetup paperSize="9" orientation="portrait" horizontalDpi="4294967293" r:id="rId1"/>
  <headerFooter>
    <oddHeader>&amp;C&amp;"-,מודגש"&amp;14חזרה לשטח ולמלאי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E0B092ED21D8408CBFFC61A9A3650B" ma:contentTypeVersion="11" ma:contentTypeDescription="Create a new document." ma:contentTypeScope="" ma:versionID="2f20802316ccc1886734b1966c103cd5">
  <xsd:schema xmlns:xsd="http://www.w3.org/2001/XMLSchema" xmlns:xs="http://www.w3.org/2001/XMLSchema" xmlns:p="http://schemas.microsoft.com/office/2006/metadata/properties" xmlns:ns2="d6c36f62-63c1-4aba-ba3c-b37f16ce7eee" xmlns:ns3="5df3c879-8590-4ce6-b14a-ee597519abf2" targetNamespace="http://schemas.microsoft.com/office/2006/metadata/properties" ma:root="true" ma:fieldsID="25b7890f3e075cbe5cd9f58d209cc753" ns2:_="" ns3:_="">
    <xsd:import namespace="d6c36f62-63c1-4aba-ba3c-b37f16ce7eee"/>
    <xsd:import namespace="5df3c879-8590-4ce6-b14a-ee597519ab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36f62-63c1-4aba-ba3c-b37f16ce7e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a2ed41-0735-437e-888e-691530ce6e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3c879-8590-4ce6-b14a-ee597519ab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5c52c3-9c06-4dee-b313-620d0fc3043e}" ma:internalName="TaxCatchAll" ma:showField="CatchAllData" ma:web="5df3c879-8590-4ce6-b14a-ee597519ab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c36f62-63c1-4aba-ba3c-b37f16ce7eee">
      <Terms xmlns="http://schemas.microsoft.com/office/infopath/2007/PartnerControls"/>
    </lcf76f155ced4ddcb4097134ff3c332f>
    <TaxCatchAll xmlns="5df3c879-8590-4ce6-b14a-ee597519abf2" xsi:nil="true"/>
  </documentManagement>
</p:properties>
</file>

<file path=customXml/itemProps1.xml><?xml version="1.0" encoding="utf-8"?>
<ds:datastoreItem xmlns:ds="http://schemas.openxmlformats.org/officeDocument/2006/customXml" ds:itemID="{2BE9134D-8057-4810-B625-B591304B7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c36f62-63c1-4aba-ba3c-b37f16ce7eee"/>
    <ds:schemaRef ds:uri="5df3c879-8590-4ce6-b14a-ee597519ab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3BCF68-5CF5-44BF-8BEA-B7DACB2408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6B8157-F9A4-4EBA-AEAF-9930D0024BFC}">
  <ds:schemaRefs>
    <ds:schemaRef ds:uri="http://purl.org/dc/elements/1.1/"/>
    <ds:schemaRef ds:uri="http://purl.org/dc/dcmitype/"/>
    <ds:schemaRef ds:uri="5df3c879-8590-4ce6-b14a-ee597519abf2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d6c36f62-63c1-4aba-ba3c-b37f16ce7ee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גודל 7 נ"ע </vt:lpstr>
      <vt:lpstr>שיחים משמר איילון  </vt:lpstr>
      <vt:lpstr>מלאי + תוכנית עבודה</vt:lpstr>
      <vt:lpstr>מכירות מהמלאי</vt:lpstr>
      <vt:lpstr>ריבוי</vt:lpstr>
      <vt:lpstr>החזרות </vt:lpstr>
      <vt:lpstr>'מלאי + תוכנית עבודה'!WPrint_Area_W</vt:lpstr>
    </vt:vector>
  </TitlesOfParts>
  <Manager/>
  <Company>Grizli777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אייל ישראלי</dc:creator>
  <cp:keywords/>
  <dc:description/>
  <cp:lastModifiedBy>Timor Grinevich</cp:lastModifiedBy>
  <cp:revision/>
  <cp:lastPrinted>2026-02-01T09:26:18Z</cp:lastPrinted>
  <dcterms:created xsi:type="dcterms:W3CDTF">2013-07-24T07:22:26Z</dcterms:created>
  <dcterms:modified xsi:type="dcterms:W3CDTF">2026-02-04T13:24:28Z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0x0101001CE0B092ED21D8408CBFFC61A9A3650B</vt:lpwstr>
  </property>
  <property fmtid="{D5CDD505-2E9C-101B-9397-08002B2CF9AE}" pid="3" name="MediaServiceImageTags">
    <vt:lpwstr/>
  </property>
</Properties>
</file>